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ineng/Library/CloudStorage/GoogleDrive-cngsc@stanford.edu/My Drive/Banik/Publications/NATURE_PROT_mar2025/REVISION/example_analysis_datapackage/manual validation/"/>
    </mc:Choice>
  </mc:AlternateContent>
  <xr:revisionPtr revIDLastSave="0" documentId="13_ncr:1_{DF8DC97B-5D1B-4340-A7CD-7885E32FAC8D}" xr6:coauthVersionLast="47" xr6:coauthVersionMax="47" xr10:uidLastSave="{00000000-0000-0000-0000-000000000000}"/>
  <bookViews>
    <workbookView xWindow="660" yWindow="1580" windowWidth="29140" windowHeight="15860" xr2:uid="{41166F5B-C0B6-B042-90F2-EA348141717C}"/>
  </bookViews>
  <sheets>
    <sheet name="RI combined" sheetId="7" r:id="rId1"/>
    <sheet name="R2 Combined" sheetId="8" r:id="rId2"/>
    <sheet name="R3 combined" sheetId="9" r:id="rId3"/>
    <sheet name="R1 from pipeline" sheetId="10" r:id="rId4"/>
    <sheet name="R2 from pipeline" sheetId="11" r:id="rId5"/>
    <sheet name="R3 from pipeline" sheetId="1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8" l="1"/>
  <c r="I28" i="10"/>
  <c r="H28" i="10"/>
  <c r="J28" i="10" s="1"/>
  <c r="I23" i="10"/>
  <c r="H23" i="10"/>
  <c r="J23" i="10" s="1"/>
  <c r="D2" i="9" l="1"/>
  <c r="I41" i="12" l="1"/>
  <c r="H41" i="12"/>
  <c r="J41" i="12" s="1"/>
  <c r="I40" i="12"/>
  <c r="H40" i="12"/>
  <c r="J40" i="12" s="1"/>
  <c r="I39" i="12"/>
  <c r="H39" i="12"/>
  <c r="J39" i="12" s="1"/>
  <c r="I38" i="12"/>
  <c r="H38" i="12"/>
  <c r="J38" i="12" s="1"/>
  <c r="J37" i="12"/>
  <c r="I37" i="12"/>
  <c r="H37" i="12"/>
  <c r="I36" i="12"/>
  <c r="H36" i="12"/>
  <c r="J36" i="12" s="1"/>
  <c r="I35" i="12"/>
  <c r="H35" i="12"/>
  <c r="J35" i="12" s="1"/>
  <c r="I34" i="12"/>
  <c r="H34" i="12"/>
  <c r="J34" i="12" s="1"/>
  <c r="I33" i="12"/>
  <c r="H33" i="12"/>
  <c r="J33" i="12" s="1"/>
  <c r="J32" i="12"/>
  <c r="I32" i="12"/>
  <c r="H32" i="12"/>
  <c r="I31" i="12"/>
  <c r="H31" i="12"/>
  <c r="J31" i="12" s="1"/>
  <c r="J30" i="12"/>
  <c r="I30" i="12"/>
  <c r="H30" i="12"/>
  <c r="I29" i="12"/>
  <c r="H29" i="12"/>
  <c r="J29" i="12" s="1"/>
  <c r="I28" i="12"/>
  <c r="H28" i="12"/>
  <c r="J28" i="12" s="1"/>
  <c r="J27" i="12"/>
  <c r="I27" i="12"/>
  <c r="H27" i="12"/>
  <c r="I26" i="12"/>
  <c r="J26" i="12" s="1"/>
  <c r="H26" i="12"/>
  <c r="I25" i="12"/>
  <c r="H25" i="12"/>
  <c r="J25" i="12" s="1"/>
  <c r="I24" i="12"/>
  <c r="H24" i="12"/>
  <c r="J24" i="12" s="1"/>
  <c r="I23" i="12"/>
  <c r="H23" i="12"/>
  <c r="J23" i="12" s="1"/>
  <c r="I22" i="12"/>
  <c r="H22" i="12"/>
  <c r="J22" i="12" s="1"/>
  <c r="I21" i="12"/>
  <c r="H21" i="12"/>
  <c r="J21" i="12" s="1"/>
  <c r="I20" i="12"/>
  <c r="H20" i="12"/>
  <c r="J20" i="12" s="1"/>
  <c r="I19" i="12"/>
  <c r="H19" i="12"/>
  <c r="J19" i="12" s="1"/>
  <c r="I18" i="12"/>
  <c r="H18" i="12"/>
  <c r="J18" i="12" s="1"/>
  <c r="I17" i="12"/>
  <c r="H17" i="12"/>
  <c r="J17" i="12" s="1"/>
  <c r="J16" i="12"/>
  <c r="I16" i="12"/>
  <c r="H16" i="12"/>
  <c r="I15" i="12"/>
  <c r="H15" i="12"/>
  <c r="J15" i="12" s="1"/>
  <c r="I14" i="12"/>
  <c r="H14" i="12"/>
  <c r="J14" i="12" s="1"/>
  <c r="I13" i="12"/>
  <c r="H13" i="12"/>
  <c r="J13" i="12" s="1"/>
  <c r="I12" i="12"/>
  <c r="H12" i="12"/>
  <c r="J12" i="12" s="1"/>
  <c r="I11" i="12"/>
  <c r="H11" i="12"/>
  <c r="J11" i="12" s="1"/>
  <c r="I10" i="12"/>
  <c r="H10" i="12"/>
  <c r="J10" i="12" s="1"/>
  <c r="I9" i="12"/>
  <c r="H9" i="12"/>
  <c r="J9" i="12" s="1"/>
  <c r="I8" i="12"/>
  <c r="H8" i="12"/>
  <c r="J8" i="12" s="1"/>
  <c r="I7" i="12"/>
  <c r="H7" i="12"/>
  <c r="J7" i="12" s="1"/>
  <c r="I6" i="12"/>
  <c r="H6" i="12"/>
  <c r="J6" i="12" s="1"/>
  <c r="I5" i="12"/>
  <c r="H5" i="12"/>
  <c r="J5" i="12" s="1"/>
  <c r="I4" i="12"/>
  <c r="H4" i="12"/>
  <c r="J4" i="12" s="1"/>
  <c r="I3" i="12"/>
  <c r="H3" i="12"/>
  <c r="J3" i="12" s="1"/>
  <c r="I2" i="12"/>
  <c r="H2" i="12"/>
  <c r="J2" i="12" s="1"/>
  <c r="I41" i="11"/>
  <c r="H41" i="11"/>
  <c r="J41" i="11" s="1"/>
  <c r="I40" i="11"/>
  <c r="H40" i="11"/>
  <c r="J40" i="11" s="1"/>
  <c r="H39" i="11"/>
  <c r="J39" i="11" s="1"/>
  <c r="I39" i="11"/>
  <c r="J38" i="11"/>
  <c r="I38" i="11"/>
  <c r="H38" i="11"/>
  <c r="I37" i="11"/>
  <c r="H37" i="11"/>
  <c r="J37" i="11" s="1"/>
  <c r="I36" i="11"/>
  <c r="H36" i="11"/>
  <c r="J36" i="11" s="1"/>
  <c r="I35" i="11"/>
  <c r="H35" i="11"/>
  <c r="J35" i="11" s="1"/>
  <c r="I34" i="11"/>
  <c r="H34" i="11"/>
  <c r="J34" i="11" s="1"/>
  <c r="I33" i="11"/>
  <c r="H33" i="11"/>
  <c r="J33" i="11" s="1"/>
  <c r="I32" i="11"/>
  <c r="H32" i="11"/>
  <c r="J32" i="11" s="1"/>
  <c r="I31" i="11"/>
  <c r="J31" i="11" s="1"/>
  <c r="H31" i="11"/>
  <c r="I30" i="11"/>
  <c r="H30" i="11"/>
  <c r="J30" i="11" s="1"/>
  <c r="I29" i="11"/>
  <c r="H29" i="11"/>
  <c r="J29" i="11" s="1"/>
  <c r="I28" i="11"/>
  <c r="H28" i="11"/>
  <c r="J28" i="11" s="1"/>
  <c r="I27" i="11"/>
  <c r="H27" i="11"/>
  <c r="J27" i="11" s="1"/>
  <c r="I26" i="11"/>
  <c r="H26" i="11"/>
  <c r="J26" i="11" s="1"/>
  <c r="I25" i="11"/>
  <c r="H25" i="11"/>
  <c r="J25" i="11" s="1"/>
  <c r="I24" i="11"/>
  <c r="H24" i="11"/>
  <c r="J24" i="11" s="1"/>
  <c r="J23" i="11"/>
  <c r="I23" i="11"/>
  <c r="H23" i="11"/>
  <c r="I22" i="11"/>
  <c r="H22" i="11"/>
  <c r="J22" i="11" s="1"/>
  <c r="I21" i="11"/>
  <c r="H21" i="11"/>
  <c r="J21" i="11" s="1"/>
  <c r="I20" i="11"/>
  <c r="H20" i="11"/>
  <c r="J20" i="11" s="1"/>
  <c r="I19" i="11"/>
  <c r="H19" i="11"/>
  <c r="J19" i="11" s="1"/>
  <c r="I18" i="11"/>
  <c r="H18" i="11"/>
  <c r="J18" i="11" s="1"/>
  <c r="I17" i="11"/>
  <c r="H17" i="11"/>
  <c r="J17" i="11" s="1"/>
  <c r="I16" i="11"/>
  <c r="H16" i="11"/>
  <c r="J16" i="11" s="1"/>
  <c r="I15" i="11"/>
  <c r="H15" i="11"/>
  <c r="J15" i="11" s="1"/>
  <c r="I14" i="11"/>
  <c r="H14" i="11"/>
  <c r="J14" i="11" s="1"/>
  <c r="I13" i="11"/>
  <c r="H13" i="11"/>
  <c r="J13" i="11" s="1"/>
  <c r="I12" i="11"/>
  <c r="H12" i="11"/>
  <c r="J12" i="11" s="1"/>
  <c r="I11" i="11"/>
  <c r="H11" i="11"/>
  <c r="J11" i="11" s="1"/>
  <c r="I10" i="11"/>
  <c r="H10" i="11"/>
  <c r="J10" i="11" s="1"/>
  <c r="I9" i="11"/>
  <c r="H9" i="11"/>
  <c r="J9" i="11" s="1"/>
  <c r="I8" i="11"/>
  <c r="H8" i="11"/>
  <c r="J8" i="11" s="1"/>
  <c r="I7" i="11"/>
  <c r="H7" i="11"/>
  <c r="J7" i="11" s="1"/>
  <c r="I6" i="11"/>
  <c r="H6" i="11"/>
  <c r="J6" i="11" s="1"/>
  <c r="J5" i="11"/>
  <c r="I5" i="11"/>
  <c r="H5" i="11"/>
  <c r="I4" i="11"/>
  <c r="H4" i="11"/>
  <c r="J4" i="11" s="1"/>
  <c r="I3" i="11"/>
  <c r="H3" i="11"/>
  <c r="J3" i="11" s="1"/>
  <c r="I2" i="11"/>
  <c r="H2" i="11"/>
  <c r="J2" i="11" s="1"/>
  <c r="I41" i="10" l="1"/>
  <c r="H41" i="10"/>
  <c r="J41" i="10" s="1"/>
  <c r="I40" i="10"/>
  <c r="H40" i="10"/>
  <c r="J40" i="10" s="1"/>
  <c r="I39" i="10"/>
  <c r="H39" i="10"/>
  <c r="J39" i="10" s="1"/>
  <c r="I38" i="10"/>
  <c r="H38" i="10"/>
  <c r="J38" i="10" s="1"/>
  <c r="I37" i="10"/>
  <c r="H37" i="10"/>
  <c r="J37" i="10" s="1"/>
  <c r="I36" i="10"/>
  <c r="H36" i="10"/>
  <c r="J36" i="10" s="1"/>
  <c r="I35" i="10"/>
  <c r="H35" i="10"/>
  <c r="J35" i="10" s="1"/>
  <c r="I34" i="10"/>
  <c r="H34" i="10"/>
  <c r="J34" i="10" s="1"/>
  <c r="I33" i="10"/>
  <c r="H33" i="10"/>
  <c r="J33" i="10" s="1"/>
  <c r="I32" i="10"/>
  <c r="H32" i="10"/>
  <c r="J32" i="10" s="1"/>
  <c r="I31" i="10"/>
  <c r="H31" i="10"/>
  <c r="J31" i="10" s="1"/>
  <c r="I30" i="10"/>
  <c r="H30" i="10"/>
  <c r="J30" i="10" s="1"/>
  <c r="I29" i="10"/>
  <c r="H29" i="10"/>
  <c r="J29" i="10" s="1"/>
  <c r="I27" i="10"/>
  <c r="H27" i="10"/>
  <c r="J27" i="10" s="1"/>
  <c r="I26" i="10"/>
  <c r="H26" i="10"/>
  <c r="J26" i="10" s="1"/>
  <c r="I24" i="10"/>
  <c r="H24" i="10"/>
  <c r="J24" i="10" s="1"/>
  <c r="I22" i="10"/>
  <c r="H22" i="10"/>
  <c r="J22" i="10" s="1"/>
  <c r="I21" i="10"/>
  <c r="H21" i="10"/>
  <c r="J21" i="10" s="1"/>
  <c r="I20" i="10"/>
  <c r="H20" i="10"/>
  <c r="J20" i="10" s="1"/>
  <c r="I19" i="10"/>
  <c r="H19" i="10"/>
  <c r="J19" i="10" s="1"/>
  <c r="I18" i="10"/>
  <c r="H18" i="10"/>
  <c r="J18" i="10" s="1"/>
  <c r="I17" i="10"/>
  <c r="H17" i="10"/>
  <c r="J17" i="10" s="1"/>
  <c r="I16" i="10"/>
  <c r="H16" i="10"/>
  <c r="J16" i="10" s="1"/>
  <c r="I15" i="10"/>
  <c r="H15" i="10"/>
  <c r="J15" i="10" s="1"/>
  <c r="J14" i="10"/>
  <c r="I14" i="10"/>
  <c r="H14" i="10"/>
  <c r="I13" i="10"/>
  <c r="H13" i="10"/>
  <c r="J13" i="10" s="1"/>
  <c r="I12" i="10"/>
  <c r="H12" i="10"/>
  <c r="J12" i="10" s="1"/>
  <c r="I11" i="10"/>
  <c r="H11" i="10"/>
  <c r="J11" i="10" s="1"/>
  <c r="I10" i="10"/>
  <c r="H10" i="10"/>
  <c r="J10" i="10" s="1"/>
  <c r="I9" i="10"/>
  <c r="H9" i="10"/>
  <c r="J9" i="10" s="1"/>
  <c r="I8" i="10"/>
  <c r="H8" i="10"/>
  <c r="J8" i="10" s="1"/>
  <c r="I7" i="10"/>
  <c r="H7" i="10"/>
  <c r="J7" i="10" s="1"/>
  <c r="I6" i="10"/>
  <c r="H6" i="10"/>
  <c r="J6" i="10" s="1"/>
  <c r="I5" i="10"/>
  <c r="H5" i="10"/>
  <c r="J5" i="10" s="1"/>
  <c r="I4" i="10"/>
  <c r="H4" i="10"/>
  <c r="J4" i="10" s="1"/>
  <c r="I3" i="10"/>
  <c r="H3" i="10"/>
  <c r="J3" i="10" s="1"/>
  <c r="I2" i="10"/>
  <c r="H2" i="10"/>
  <c r="J2" i="10" s="1"/>
  <c r="D41" i="9" l="1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10" i="8" l="1"/>
  <c r="D9" i="8"/>
  <c r="D8" i="8"/>
  <c r="D7" i="8"/>
  <c r="D6" i="8"/>
  <c r="D3" i="8"/>
  <c r="D11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5" i="8"/>
  <c r="D4" i="8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2" i="7"/>
</calcChain>
</file>

<file path=xl/sharedStrings.xml><?xml version="1.0" encoding="utf-8"?>
<sst xmlns="http://schemas.openxmlformats.org/spreadsheetml/2006/main" count="300" uniqueCount="128">
  <si>
    <t>label</t>
  </si>
  <si>
    <t>1-1-16</t>
  </si>
  <si>
    <t>1-1-1</t>
  </si>
  <si>
    <t>1-1-3</t>
  </si>
  <si>
    <t>1-1-20</t>
  </si>
  <si>
    <t>1-1-22</t>
  </si>
  <si>
    <t>1-1-30</t>
  </si>
  <si>
    <t>1-1-40</t>
  </si>
  <si>
    <t>1-1-38</t>
  </si>
  <si>
    <t>1-1-32</t>
  </si>
  <si>
    <t>1-1-10</t>
  </si>
  <si>
    <t>2-3-5</t>
  </si>
  <si>
    <t>2-3-8</t>
  </si>
  <si>
    <t>2-3-10</t>
  </si>
  <si>
    <t>2-3-7</t>
  </si>
  <si>
    <t>2-3-20</t>
  </si>
  <si>
    <t>2-3-12</t>
  </si>
  <si>
    <t>2-3-15</t>
  </si>
  <si>
    <t>2-3-13</t>
  </si>
  <si>
    <t>2-3-28</t>
  </si>
  <si>
    <t>2-3-21</t>
  </si>
  <si>
    <t>3-2-2</t>
  </si>
  <si>
    <t>3-2-13</t>
  </si>
  <si>
    <t>3-2-14</t>
  </si>
  <si>
    <t>3-2-20</t>
  </si>
  <si>
    <t>3-2-6</t>
  </si>
  <si>
    <t>3-2-29</t>
  </si>
  <si>
    <t>3-2-16</t>
  </si>
  <si>
    <t>4-2-19</t>
  </si>
  <si>
    <t>4-2-24</t>
  </si>
  <si>
    <t>4-2-26</t>
  </si>
  <si>
    <t>4-2-7</t>
  </si>
  <si>
    <t>4-2-9</t>
  </si>
  <si>
    <t>4-2-16</t>
  </si>
  <si>
    <t>4-2-21</t>
  </si>
  <si>
    <t>4-2-27</t>
  </si>
  <si>
    <t>4-2-15</t>
  </si>
  <si>
    <t>4-2-8</t>
  </si>
  <si>
    <t>1-3-48</t>
  </si>
  <si>
    <t>1-3-47</t>
  </si>
  <si>
    <t>1-3-53</t>
  </si>
  <si>
    <t>1-3-52</t>
  </si>
  <si>
    <t>1-3-37</t>
  </si>
  <si>
    <t>1-3-36</t>
  </si>
  <si>
    <t>1-3-20</t>
  </si>
  <si>
    <t>1-3-25</t>
  </si>
  <si>
    <t>1-3-17</t>
  </si>
  <si>
    <t>1-3-55</t>
  </si>
  <si>
    <t>2-1-40</t>
  </si>
  <si>
    <t>2-1-47</t>
  </si>
  <si>
    <t>2-1-61</t>
  </si>
  <si>
    <t>2-1-21</t>
  </si>
  <si>
    <t>2-1-59</t>
  </si>
  <si>
    <t>2-1-24</t>
  </si>
  <si>
    <t>2-1-41</t>
  </si>
  <si>
    <t>2-1-37</t>
  </si>
  <si>
    <t>2-1-27</t>
  </si>
  <si>
    <t>3-3-33</t>
  </si>
  <si>
    <t>3-3-35</t>
  </si>
  <si>
    <t>3-3-39</t>
  </si>
  <si>
    <t>3-3-34</t>
  </si>
  <si>
    <t>3-3-25</t>
  </si>
  <si>
    <t>3-3-10</t>
  </si>
  <si>
    <t>3-3-9</t>
  </si>
  <si>
    <t>3-3-8</t>
  </si>
  <si>
    <t>3-3-36</t>
  </si>
  <si>
    <t>3-3-38</t>
  </si>
  <si>
    <t>4-1-5</t>
  </si>
  <si>
    <t>4-1-12</t>
  </si>
  <si>
    <t>4-1-19</t>
  </si>
  <si>
    <t>4-1-22</t>
  </si>
  <si>
    <t>4-1-26</t>
  </si>
  <si>
    <t>4-1-25</t>
  </si>
  <si>
    <t>4-1-16</t>
  </si>
  <si>
    <t>4-1-9</t>
  </si>
  <si>
    <t>4-1-6</t>
  </si>
  <si>
    <t>4-1-24</t>
  </si>
  <si>
    <t>1-2-34</t>
  </si>
  <si>
    <t>1-2-55</t>
  </si>
  <si>
    <t>1-2-56</t>
  </si>
  <si>
    <t>1-2-63</t>
  </si>
  <si>
    <t>1-2-57</t>
  </si>
  <si>
    <t>1-2-19</t>
  </si>
  <si>
    <t>1-2-52</t>
  </si>
  <si>
    <t>1-2-41</t>
  </si>
  <si>
    <t>1-2-42</t>
  </si>
  <si>
    <t>1-2-48</t>
  </si>
  <si>
    <t>2-3-4</t>
  </si>
  <si>
    <t>2-3-27</t>
  </si>
  <si>
    <t>2-3-22</t>
  </si>
  <si>
    <t>2-3-29</t>
  </si>
  <si>
    <t>2-3-39</t>
  </si>
  <si>
    <t>2-3-16</t>
  </si>
  <si>
    <t>2-3-33</t>
  </si>
  <si>
    <t>3-1-22</t>
  </si>
  <si>
    <t>3-1-24</t>
  </si>
  <si>
    <t>3-1-26</t>
  </si>
  <si>
    <t>3-1-30</t>
  </si>
  <si>
    <t>3-1-31</t>
  </si>
  <si>
    <t>3-1-33</t>
  </si>
  <si>
    <t>3-1-28</t>
  </si>
  <si>
    <t>3-1-5</t>
  </si>
  <si>
    <t>3-1-13</t>
  </si>
  <si>
    <t>3-1-18</t>
  </si>
  <si>
    <t>4-1-45</t>
  </si>
  <si>
    <t>4-1-46</t>
  </si>
  <si>
    <t>4-1-30</t>
  </si>
  <si>
    <t>4-1-15</t>
  </si>
  <si>
    <t>4-1-37</t>
  </si>
  <si>
    <t>4-1-23</t>
  </si>
  <si>
    <t>4-1-18</t>
  </si>
  <si>
    <t>4-1-21</t>
  </si>
  <si>
    <t>4-1-29</t>
  </si>
  <si>
    <t>RFP Cell raw int density</t>
  </si>
  <si>
    <t>GFP Cell raw int density</t>
  </si>
  <si>
    <t>GFP/RFP ratio raw int density</t>
  </si>
  <si>
    <t>SUM GFP AVG CELL (CYTO+ NUC)</t>
  </si>
  <si>
    <t>SUM RFP AVG CELL (CYTO+ NUC)</t>
  </si>
  <si>
    <t>ratio sum gfp/rfp</t>
  </si>
  <si>
    <t>RFP_percentnuc</t>
  </si>
  <si>
    <t>GFP_percentnuc</t>
  </si>
  <si>
    <t>GFP_avgcytoint</t>
  </si>
  <si>
    <t>RFP_avgcytoint</t>
  </si>
  <si>
    <t>GFP_avgnucint</t>
  </si>
  <si>
    <t>RFP_avgnucint</t>
  </si>
  <si>
    <t>3-2-30</t>
  </si>
  <si>
    <t>3-2-25</t>
  </si>
  <si>
    <t>3-2-21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</si>
</sst>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FF0000"/>
      <name val="Calibri (Body)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2" borderId="0" xfId="0" applyFill="1"/>
    <xf numFmtId="0" fontId="0" fillId="3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5" borderId="0" xfId="0" applyFill="1"/>
    <xf numFmtId="0" fontId="4" fillId="0" borderId="1" xfId="0" applyFont="1" applyBorder="1" applyAlignment="1">
      <alignment horizontal="center" vertical="top"/>
    </xf>
    <xf numFmtId="10" fontId="4" fillId="0" borderId="1" xfId="1" applyNumberFormat="1" applyFont="1" applyBorder="1" applyAlignment="1">
      <alignment horizontal="center" vertical="top" wrapText="1"/>
    </xf>
    <xf numFmtId="10" fontId="0" fillId="0" borderId="0" xfId="1" applyNumberFormat="1" applyFont="1"/>
    <xf numFmtId="0" fontId="4" fillId="0" borderId="1" xfId="0" applyFont="1" applyBorder="1" applyAlignment="1">
      <alignment horizontal="center" vertical="top" wrapText="1"/>
    </xf>
    <xf numFmtId="0" fontId="0" fillId="4" borderId="0" xfId="0" applyFill="1" applyAlignment="1">
      <alignment wrapText="1"/>
    </xf>
    <xf numFmtId="10" fontId="4" fillId="4" borderId="1" xfId="1" applyNumberFormat="1" applyFont="1" applyFill="1" applyBorder="1" applyAlignment="1">
      <alignment horizontal="center" vertical="top" wrapText="1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FFEBEB"/>
      <color rgb="FFFFD0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1DE33-314B-8446-9CF0-198A749CF15E}">
  <dimension ref="A1:I41"/>
  <sheetViews>
    <sheetView tabSelected="1" workbookViewId="0">
      <pane ySplit="1" topLeftCell="A2" activePane="bottomLeft" state="frozen"/>
      <selection pane="bottomLeft" activeCell="I19" sqref="I19"/>
    </sheetView>
  </sheetViews>
  <sheetFormatPr baseColWidth="10" defaultRowHeight="16" x14ac:dyDescent="0.2"/>
  <cols>
    <col min="2" max="2" width="11.6640625" customWidth="1"/>
    <col min="4" max="4" width="10.83203125" style="8"/>
    <col min="7" max="7" width="12.1640625" bestFit="1" customWidth="1"/>
  </cols>
  <sheetData>
    <row r="1" spans="1:9" s="1" customFormat="1" ht="68" x14ac:dyDescent="0.2">
      <c r="A1" s="1" t="s">
        <v>0</v>
      </c>
      <c r="B1" s="3" t="s">
        <v>113</v>
      </c>
      <c r="C1" s="4" t="s">
        <v>114</v>
      </c>
      <c r="D1" s="7" t="s">
        <v>115</v>
      </c>
      <c r="E1" s="13" t="s">
        <v>116</v>
      </c>
      <c r="F1" s="13" t="s">
        <v>117</v>
      </c>
      <c r="G1" s="13" t="s">
        <v>118</v>
      </c>
      <c r="H1" s="14" t="s">
        <v>119</v>
      </c>
      <c r="I1" s="14" t="s">
        <v>120</v>
      </c>
    </row>
    <row r="2" spans="1:9" x14ac:dyDescent="0.2">
      <c r="A2" t="s">
        <v>1</v>
      </c>
      <c r="B2">
        <v>3130175</v>
      </c>
      <c r="C2">
        <v>2613093</v>
      </c>
      <c r="D2" s="8">
        <f>C2/B2</f>
        <v>0.83480731907960415</v>
      </c>
      <c r="E2">
        <v>4862.8701754385966</v>
      </c>
      <c r="F2">
        <v>3234.8678711704633</v>
      </c>
      <c r="G2">
        <v>1.5032670171097522</v>
      </c>
      <c r="H2" s="11">
        <v>0.27110014048612302</v>
      </c>
      <c r="I2" s="11">
        <v>0.84209527547805862</v>
      </c>
    </row>
    <row r="3" spans="1:9" x14ac:dyDescent="0.2">
      <c r="A3" t="s">
        <v>2</v>
      </c>
      <c r="B3">
        <v>3774261</v>
      </c>
      <c r="C3">
        <v>2674203</v>
      </c>
      <c r="D3" s="8">
        <f t="shared" ref="D3:D41" si="0">C3/B3</f>
        <v>0.70853684999527056</v>
      </c>
      <c r="E3">
        <v>2042.0206753454042</v>
      </c>
      <c r="F3">
        <v>1661.9903795700532</v>
      </c>
      <c r="G3">
        <v>1.2286597446332166</v>
      </c>
      <c r="H3" s="11">
        <v>0.22997814434612579</v>
      </c>
      <c r="I3" s="11">
        <v>0.96620793765083779</v>
      </c>
    </row>
    <row r="4" spans="1:9" x14ac:dyDescent="0.2">
      <c r="A4" t="s">
        <v>3</v>
      </c>
      <c r="B4">
        <v>3279649</v>
      </c>
      <c r="C4">
        <v>1987062</v>
      </c>
      <c r="D4" s="8">
        <f t="shared" si="0"/>
        <v>0.60587642153169441</v>
      </c>
      <c r="E4">
        <v>2257.3600755995822</v>
      </c>
      <c r="F4">
        <v>1712.0280761209592</v>
      </c>
      <c r="G4">
        <v>1.318529822661678</v>
      </c>
      <c r="H4" s="11">
        <v>0.2295582791308938</v>
      </c>
      <c r="I4" s="11">
        <v>0.96191426648543044</v>
      </c>
    </row>
    <row r="5" spans="1:9" x14ac:dyDescent="0.2">
      <c r="A5" t="s">
        <v>4</v>
      </c>
      <c r="B5">
        <v>2299297</v>
      </c>
      <c r="C5">
        <v>2037181</v>
      </c>
      <c r="D5" s="8">
        <f t="shared" si="0"/>
        <v>0.8860016779041594</v>
      </c>
      <c r="E5">
        <v>2012.9621117035344</v>
      </c>
      <c r="F5">
        <v>1181.8581799560202</v>
      </c>
      <c r="G5">
        <v>1.7032179882855671</v>
      </c>
      <c r="H5" s="11">
        <v>0.21671263088025411</v>
      </c>
      <c r="I5" s="11">
        <v>0.96342205032992911</v>
      </c>
    </row>
    <row r="6" spans="1:9" x14ac:dyDescent="0.2">
      <c r="A6" t="s">
        <v>5</v>
      </c>
      <c r="B6">
        <v>2254868</v>
      </c>
      <c r="C6">
        <v>875575</v>
      </c>
      <c r="D6" s="8">
        <f t="shared" si="0"/>
        <v>0.388304326461682</v>
      </c>
      <c r="E6">
        <v>593.64583333333337</v>
      </c>
      <c r="F6">
        <v>936.25759308297222</v>
      </c>
      <c r="G6">
        <v>0.6340625034383286</v>
      </c>
      <c r="H6" s="11">
        <v>0.23935899773751421</v>
      </c>
      <c r="I6" s="11">
        <v>0.91058080364976302</v>
      </c>
    </row>
    <row r="7" spans="1:9" x14ac:dyDescent="0.2">
      <c r="A7" t="s">
        <v>6</v>
      </c>
      <c r="B7">
        <v>1228117</v>
      </c>
      <c r="C7">
        <v>483049</v>
      </c>
      <c r="D7" s="8">
        <f t="shared" si="0"/>
        <v>0.39332490308333817</v>
      </c>
      <c r="E7">
        <v>534.26615609317651</v>
      </c>
      <c r="F7">
        <v>906.74355104486551</v>
      </c>
      <c r="G7">
        <v>0.58921417800824383</v>
      </c>
      <c r="H7" s="11">
        <v>0.18437296178196719</v>
      </c>
      <c r="I7" s="11">
        <v>0.90511532443534592</v>
      </c>
    </row>
    <row r="8" spans="1:9" x14ac:dyDescent="0.2">
      <c r="A8" t="s">
        <v>7</v>
      </c>
      <c r="B8">
        <v>2497727</v>
      </c>
      <c r="C8">
        <v>2523502</v>
      </c>
      <c r="D8" s="8">
        <f t="shared" si="0"/>
        <v>1.0103193823824621</v>
      </c>
      <c r="E8">
        <v>2474.6251471772944</v>
      </c>
      <c r="F8">
        <v>1344.4934002602718</v>
      </c>
      <c r="G8">
        <v>1.8405632535631991</v>
      </c>
      <c r="H8" s="11">
        <v>0.17165415519570579</v>
      </c>
      <c r="I8" s="11">
        <v>0.97033571911129401</v>
      </c>
    </row>
    <row r="9" spans="1:9" x14ac:dyDescent="0.2">
      <c r="A9" t="s">
        <v>8</v>
      </c>
      <c r="B9">
        <v>1394658</v>
      </c>
      <c r="C9">
        <v>420767</v>
      </c>
      <c r="D9" s="8">
        <f t="shared" si="0"/>
        <v>0.30169905453523371</v>
      </c>
      <c r="E9">
        <v>380.47266265718974</v>
      </c>
      <c r="F9">
        <v>760.54879897940577</v>
      </c>
      <c r="G9">
        <v>0.50026068434760917</v>
      </c>
      <c r="H9" s="11">
        <v>0.25736424116216272</v>
      </c>
      <c r="I9" s="11">
        <v>0.87751631197418534</v>
      </c>
    </row>
    <row r="10" spans="1:9" x14ac:dyDescent="0.2">
      <c r="A10" t="s">
        <v>9</v>
      </c>
      <c r="B10">
        <v>1752369</v>
      </c>
      <c r="C10">
        <v>1572329</v>
      </c>
      <c r="D10" s="8">
        <f t="shared" si="0"/>
        <v>0.8972590818486289</v>
      </c>
      <c r="E10">
        <v>1557.6055712864472</v>
      </c>
      <c r="F10">
        <v>820.58089775075314</v>
      </c>
      <c r="G10">
        <v>1.8981743001280067</v>
      </c>
      <c r="H10" s="11">
        <v>0.28426844438134308</v>
      </c>
      <c r="I10" s="11">
        <v>0.96386087477408988</v>
      </c>
    </row>
    <row r="11" spans="1:9" x14ac:dyDescent="0.2">
      <c r="A11" t="s">
        <v>10</v>
      </c>
      <c r="B11">
        <v>1840007</v>
      </c>
      <c r="C11">
        <v>555870</v>
      </c>
      <c r="D11" s="8">
        <f t="shared" si="0"/>
        <v>0.30210211156805383</v>
      </c>
      <c r="E11">
        <v>620.37441620506138</v>
      </c>
      <c r="F11">
        <v>833.78758010209617</v>
      </c>
      <c r="G11">
        <v>0.74404372409708641</v>
      </c>
      <c r="H11" s="11">
        <v>0.25942626451681</v>
      </c>
      <c r="I11" s="11">
        <v>0.91672129419736359</v>
      </c>
    </row>
    <row r="12" spans="1:9" s="5" customFormat="1" x14ac:dyDescent="0.2">
      <c r="A12" s="5" t="s">
        <v>11</v>
      </c>
      <c r="B12" s="5">
        <v>5413870</v>
      </c>
      <c r="C12" s="5">
        <v>4901981</v>
      </c>
      <c r="D12" s="8">
        <f t="shared" si="0"/>
        <v>0.90544859776832465</v>
      </c>
      <c r="E12">
        <v>4211.6984670979782</v>
      </c>
      <c r="F12">
        <v>2461.521244972897</v>
      </c>
      <c r="G12">
        <v>1.711014469486877</v>
      </c>
      <c r="H12" s="11">
        <v>0.46493194075059102</v>
      </c>
      <c r="I12" s="11">
        <v>0.97219869879357756</v>
      </c>
    </row>
    <row r="13" spans="1:9" x14ac:dyDescent="0.2">
      <c r="A13" t="s">
        <v>12</v>
      </c>
      <c r="B13">
        <v>5471287</v>
      </c>
      <c r="C13">
        <v>5125349</v>
      </c>
      <c r="D13" s="8">
        <f t="shared" si="0"/>
        <v>0.93677209768012537</v>
      </c>
      <c r="E13">
        <v>4200.2096076738017</v>
      </c>
      <c r="F13">
        <v>2616.7373635185977</v>
      </c>
      <c r="G13">
        <v>1.6051322789330247</v>
      </c>
      <c r="H13" s="11">
        <v>0.46507586596784861</v>
      </c>
      <c r="I13" s="11">
        <v>0.97485915541376755</v>
      </c>
    </row>
    <row r="14" spans="1:9" x14ac:dyDescent="0.2">
      <c r="A14" t="s">
        <v>13</v>
      </c>
      <c r="B14">
        <v>2347400</v>
      </c>
      <c r="C14">
        <v>546236</v>
      </c>
      <c r="D14" s="8">
        <f t="shared" si="0"/>
        <v>0.23269830450711426</v>
      </c>
      <c r="E14">
        <v>542.3267972483327</v>
      </c>
      <c r="F14">
        <v>1229.3934604141505</v>
      </c>
      <c r="G14">
        <v>0.44113362785062887</v>
      </c>
      <c r="H14" s="11">
        <v>0.24864198644249591</v>
      </c>
      <c r="I14" s="11">
        <v>0.91330985537179599</v>
      </c>
    </row>
    <row r="15" spans="1:9" x14ac:dyDescent="0.2">
      <c r="A15" t="s">
        <v>14</v>
      </c>
      <c r="B15">
        <v>531539</v>
      </c>
      <c r="C15">
        <v>65309</v>
      </c>
      <c r="D15" s="8">
        <f t="shared" si="0"/>
        <v>0.12286774818028404</v>
      </c>
      <c r="E15">
        <v>129.07445393626273</v>
      </c>
      <c r="F15">
        <v>804.30150732347772</v>
      </c>
      <c r="G15">
        <v>0.16048018406156109</v>
      </c>
      <c r="H15" s="11">
        <v>0.28485924081559649</v>
      </c>
      <c r="I15" s="11">
        <v>0.67597764256116999</v>
      </c>
    </row>
    <row r="16" spans="1:9" x14ac:dyDescent="0.2">
      <c r="A16" t="s">
        <v>15</v>
      </c>
      <c r="B16">
        <v>5872074</v>
      </c>
      <c r="C16">
        <v>2577202</v>
      </c>
      <c r="D16" s="8">
        <f t="shared" si="0"/>
        <v>0.43889126737844242</v>
      </c>
      <c r="E16">
        <v>2424.5227468839885</v>
      </c>
      <c r="F16">
        <v>2039.7160674336851</v>
      </c>
      <c r="G16">
        <v>1.1886569829959013</v>
      </c>
      <c r="H16" s="11">
        <v>0.31784710994533322</v>
      </c>
      <c r="I16" s="11">
        <v>0.9710222266283921</v>
      </c>
    </row>
    <row r="17" spans="1:9" x14ac:dyDescent="0.2">
      <c r="A17" t="s">
        <v>16</v>
      </c>
      <c r="B17">
        <v>1893607</v>
      </c>
      <c r="C17">
        <v>671841</v>
      </c>
      <c r="D17" s="8">
        <f t="shared" si="0"/>
        <v>0.35479431582160398</v>
      </c>
      <c r="E17">
        <v>626.93261242995129</v>
      </c>
      <c r="F17">
        <v>1238.6673199853567</v>
      </c>
      <c r="G17">
        <v>0.50613478075562923</v>
      </c>
      <c r="H17" s="11">
        <v>0.26973164144470102</v>
      </c>
      <c r="I17" s="11">
        <v>0.92621467435391913</v>
      </c>
    </row>
    <row r="18" spans="1:9" x14ac:dyDescent="0.2">
      <c r="A18" t="s">
        <v>17</v>
      </c>
      <c r="B18">
        <v>9202364</v>
      </c>
      <c r="C18">
        <v>6422296</v>
      </c>
      <c r="D18" s="8">
        <f t="shared" si="0"/>
        <v>0.69789632316217876</v>
      </c>
      <c r="E18">
        <v>4016.1958735523513</v>
      </c>
      <c r="F18">
        <v>3356.9242181046047</v>
      </c>
      <c r="G18">
        <v>1.1963915812850807</v>
      </c>
      <c r="H18" s="11">
        <v>0.32649273079298102</v>
      </c>
      <c r="I18" s="11">
        <v>0.97590306565074114</v>
      </c>
    </row>
    <row r="19" spans="1:9" x14ac:dyDescent="0.2">
      <c r="A19" t="s">
        <v>18</v>
      </c>
      <c r="B19">
        <v>4815936</v>
      </c>
      <c r="C19">
        <v>3294955</v>
      </c>
      <c r="D19" s="8">
        <f t="shared" si="0"/>
        <v>0.68417748906962217</v>
      </c>
      <c r="E19">
        <v>3684.4683259273052</v>
      </c>
      <c r="F19">
        <v>3052.5584754669785</v>
      </c>
      <c r="G19">
        <v>1.2070099084223629</v>
      </c>
      <c r="H19" s="11">
        <v>0.31104721931203722</v>
      </c>
      <c r="I19" s="11">
        <v>0.97242304768705479</v>
      </c>
    </row>
    <row r="20" spans="1:9" x14ac:dyDescent="0.2">
      <c r="A20" t="s">
        <v>19</v>
      </c>
      <c r="B20">
        <v>2291614</v>
      </c>
      <c r="C20">
        <v>762365</v>
      </c>
      <c r="D20" s="8">
        <f t="shared" si="0"/>
        <v>0.33267600913591905</v>
      </c>
      <c r="E20">
        <v>566.64219408700137</v>
      </c>
      <c r="F20">
        <v>882.65687073139304</v>
      </c>
      <c r="G20">
        <v>0.64197335666516309</v>
      </c>
      <c r="H20" s="11">
        <v>0.25587751442170548</v>
      </c>
      <c r="I20" s="11">
        <v>0.90474433821513989</v>
      </c>
    </row>
    <row r="21" spans="1:9" x14ac:dyDescent="0.2">
      <c r="A21" t="s">
        <v>20</v>
      </c>
      <c r="B21">
        <v>3845016</v>
      </c>
      <c r="C21">
        <v>4380888</v>
      </c>
      <c r="D21" s="8">
        <f t="shared" si="0"/>
        <v>1.1393679506145098</v>
      </c>
      <c r="E21">
        <v>4216.0930232558139</v>
      </c>
      <c r="F21">
        <v>2542.9956945758181</v>
      </c>
      <c r="G21">
        <v>1.6579237755882537</v>
      </c>
      <c r="H21" s="11">
        <v>0.56986273644290142</v>
      </c>
      <c r="I21" s="11">
        <v>0.97127837963065111</v>
      </c>
    </row>
    <row r="22" spans="1:9" s="5" customFormat="1" x14ac:dyDescent="0.2">
      <c r="A22" s="5" t="s">
        <v>21</v>
      </c>
      <c r="B22">
        <v>8099983</v>
      </c>
      <c r="C22">
        <v>7293198</v>
      </c>
      <c r="D22" s="8">
        <f t="shared" si="0"/>
        <v>0.9003967045362935</v>
      </c>
      <c r="E22">
        <v>4130.6215773323756</v>
      </c>
      <c r="F22">
        <v>4211.2855454723513</v>
      </c>
      <c r="G22">
        <v>0.98084576140254864</v>
      </c>
      <c r="H22" s="11">
        <v>0.75127525025645314</v>
      </c>
      <c r="I22" s="11">
        <v>0.97588603591189171</v>
      </c>
    </row>
    <row r="23" spans="1:9" x14ac:dyDescent="0.2">
      <c r="A23" s="2" t="s">
        <v>125</v>
      </c>
      <c r="B23">
        <v>773435</v>
      </c>
      <c r="C23">
        <v>203014</v>
      </c>
      <c r="D23" s="8">
        <f t="shared" si="0"/>
        <v>0.26248359590657261</v>
      </c>
      <c r="E23">
        <v>227.4835065466448</v>
      </c>
      <c r="F23">
        <v>670.02255319148935</v>
      </c>
      <c r="G23">
        <v>0.33951619309392272</v>
      </c>
      <c r="H23" s="11">
        <v>0.27617361879847813</v>
      </c>
      <c r="I23" s="11">
        <v>0.79582036207765217</v>
      </c>
    </row>
    <row r="24" spans="1:9" x14ac:dyDescent="0.2">
      <c r="A24" t="s">
        <v>22</v>
      </c>
      <c r="B24">
        <v>4970708</v>
      </c>
      <c r="C24">
        <v>5030815</v>
      </c>
      <c r="D24" s="8">
        <f t="shared" si="0"/>
        <v>1.0120922411857627</v>
      </c>
      <c r="E24">
        <v>4236.0486111111113</v>
      </c>
      <c r="F24">
        <v>4399.5148100907027</v>
      </c>
      <c r="G24">
        <v>0.96284449398723104</v>
      </c>
      <c r="H24" s="11">
        <v>0.82442429449379639</v>
      </c>
      <c r="I24" s="11">
        <v>0.96670278741817495</v>
      </c>
    </row>
    <row r="25" spans="1:9" x14ac:dyDescent="0.2">
      <c r="A25" s="2" t="s">
        <v>126</v>
      </c>
      <c r="B25">
        <v>1113871</v>
      </c>
      <c r="C25">
        <v>234653</v>
      </c>
      <c r="D25" s="8">
        <f t="shared" si="0"/>
        <v>0.21066443062078105</v>
      </c>
      <c r="E25">
        <v>140.94815524348735</v>
      </c>
      <c r="F25">
        <v>457.15033097856769</v>
      </c>
      <c r="G25">
        <v>0.30831904888218342</v>
      </c>
      <c r="H25" s="11">
        <v>0.24806086157617199</v>
      </c>
      <c r="I25" s="11">
        <v>0.69160651882976387</v>
      </c>
    </row>
    <row r="26" spans="1:9" x14ac:dyDescent="0.2">
      <c r="A26" t="s">
        <v>23</v>
      </c>
      <c r="B26">
        <v>2752461</v>
      </c>
      <c r="C26">
        <v>2156348</v>
      </c>
      <c r="D26" s="8">
        <f t="shared" si="0"/>
        <v>0.78342545089648863</v>
      </c>
      <c r="E26">
        <v>1607.7757385471675</v>
      </c>
      <c r="F26">
        <v>1338.0301983730556</v>
      </c>
      <c r="G26">
        <v>1.201598992684995</v>
      </c>
      <c r="H26" s="11">
        <v>0.43032004769498139</v>
      </c>
      <c r="I26" s="11">
        <v>0.95262563981242643</v>
      </c>
    </row>
    <row r="27" spans="1:9" x14ac:dyDescent="0.2">
      <c r="A27" t="s">
        <v>24</v>
      </c>
      <c r="B27">
        <v>4743770</v>
      </c>
      <c r="C27">
        <v>3451078</v>
      </c>
      <c r="D27" s="8">
        <f t="shared" si="0"/>
        <v>0.72749690646890552</v>
      </c>
      <c r="E27">
        <v>3373.2362273901817</v>
      </c>
      <c r="F27">
        <v>3354.9998966408266</v>
      </c>
      <c r="G27">
        <v>1.0054355682000509</v>
      </c>
      <c r="H27" s="11">
        <v>0.65717104424869499</v>
      </c>
      <c r="I27" s="11">
        <v>0.97254729932860606</v>
      </c>
    </row>
    <row r="28" spans="1:9" x14ac:dyDescent="0.2">
      <c r="A28" s="2" t="s">
        <v>127</v>
      </c>
      <c r="B28">
        <v>1633396</v>
      </c>
      <c r="C28">
        <v>313207</v>
      </c>
      <c r="D28" s="8">
        <f t="shared" si="0"/>
        <v>0.19175203073841249</v>
      </c>
      <c r="E28">
        <v>136.6753218181446</v>
      </c>
      <c r="F28">
        <v>455.30996101344573</v>
      </c>
      <c r="G28">
        <v>0.30018082959118142</v>
      </c>
      <c r="H28" s="11">
        <v>0.23431944441049921</v>
      </c>
      <c r="I28" s="11">
        <v>0.68917158444252746</v>
      </c>
    </row>
    <row r="29" spans="1:9" x14ac:dyDescent="0.2">
      <c r="A29" t="s">
        <v>25</v>
      </c>
      <c r="B29">
        <v>4146081</v>
      </c>
      <c r="C29">
        <v>4660700</v>
      </c>
      <c r="D29" s="8">
        <f t="shared" si="0"/>
        <v>1.1241217911565162</v>
      </c>
      <c r="E29">
        <v>4229.5482594015602</v>
      </c>
      <c r="F29">
        <v>3915.2726433034495</v>
      </c>
      <c r="G29">
        <v>1.0802691522991732</v>
      </c>
      <c r="H29" s="11">
        <v>0.79812956854240713</v>
      </c>
      <c r="I29" s="11">
        <v>0.96772142055115684</v>
      </c>
    </row>
    <row r="30" spans="1:9" x14ac:dyDescent="0.2">
      <c r="A30" t="s">
        <v>26</v>
      </c>
      <c r="B30">
        <v>1399055</v>
      </c>
      <c r="C30">
        <v>180291</v>
      </c>
      <c r="D30" s="8">
        <f t="shared" si="0"/>
        <v>0.12886627044683732</v>
      </c>
      <c r="E30">
        <v>87.850693134822166</v>
      </c>
      <c r="F30">
        <v>606.5388949545079</v>
      </c>
      <c r="G30">
        <v>0.1448393398438384</v>
      </c>
      <c r="H30" s="11">
        <v>0.22670086963643271</v>
      </c>
      <c r="I30" s="11">
        <v>0.50789232893526548</v>
      </c>
    </row>
    <row r="31" spans="1:9" x14ac:dyDescent="0.2">
      <c r="A31" t="s">
        <v>27</v>
      </c>
      <c r="B31">
        <v>4816043</v>
      </c>
      <c r="C31">
        <v>3234840</v>
      </c>
      <c r="D31" s="8">
        <f t="shared" si="0"/>
        <v>0.67168004936832992</v>
      </c>
      <c r="E31">
        <v>3417.6697437114381</v>
      </c>
      <c r="F31">
        <v>3238.2675842429999</v>
      </c>
      <c r="G31">
        <v>1.0554006593962113</v>
      </c>
      <c r="H31" s="11">
        <v>0.62528772774816255</v>
      </c>
      <c r="I31" s="11">
        <v>0.97633536501718432</v>
      </c>
    </row>
    <row r="32" spans="1:9" s="5" customFormat="1" x14ac:dyDescent="0.2">
      <c r="A32" s="5" t="s">
        <v>28</v>
      </c>
      <c r="B32" s="5">
        <v>1044616</v>
      </c>
      <c r="C32" s="5">
        <v>495174</v>
      </c>
      <c r="D32" s="8">
        <f t="shared" si="0"/>
        <v>0.47402490484541687</v>
      </c>
      <c r="E32">
        <v>653.38076341647775</v>
      </c>
      <c r="F32">
        <v>897.78921012849582</v>
      </c>
      <c r="G32">
        <v>0.72776633539955649</v>
      </c>
      <c r="H32" s="11">
        <v>0.42917888181906488</v>
      </c>
      <c r="I32" s="11">
        <v>0.92937049609117761</v>
      </c>
    </row>
    <row r="33" spans="1:9" x14ac:dyDescent="0.2">
      <c r="A33" t="s">
        <v>29</v>
      </c>
      <c r="B33">
        <v>1474894</v>
      </c>
      <c r="C33">
        <v>439864</v>
      </c>
      <c r="D33" s="8">
        <f t="shared" si="0"/>
        <v>0.29823431378797394</v>
      </c>
      <c r="E33">
        <v>585.44328509110733</v>
      </c>
      <c r="F33">
        <v>943.67996546553366</v>
      </c>
      <c r="G33">
        <v>0.62038329361193767</v>
      </c>
      <c r="H33" s="11">
        <v>0.41810713003667022</v>
      </c>
      <c r="I33" s="11">
        <v>0.9117783141749658</v>
      </c>
    </row>
    <row r="34" spans="1:9" x14ac:dyDescent="0.2">
      <c r="A34" t="s">
        <v>30</v>
      </c>
      <c r="B34">
        <v>1512524</v>
      </c>
      <c r="C34">
        <v>620400</v>
      </c>
      <c r="D34" s="8">
        <f t="shared" si="0"/>
        <v>0.41017530961492182</v>
      </c>
      <c r="E34">
        <v>555.29265441057896</v>
      </c>
      <c r="F34">
        <v>932.07506853733264</v>
      </c>
      <c r="G34">
        <v>0.59575958327259737</v>
      </c>
      <c r="H34" s="11">
        <v>0.43125018653335168</v>
      </c>
      <c r="I34" s="11">
        <v>0.91794193754533626</v>
      </c>
    </row>
    <row r="35" spans="1:9" x14ac:dyDescent="0.2">
      <c r="A35" t="s">
        <v>31</v>
      </c>
      <c r="B35">
        <v>3311441</v>
      </c>
      <c r="C35">
        <v>3240671</v>
      </c>
      <c r="D35" s="8">
        <f t="shared" si="0"/>
        <v>0.97862863931442534</v>
      </c>
      <c r="E35">
        <v>2960.6010652098362</v>
      </c>
      <c r="F35">
        <v>2043.1442316635575</v>
      </c>
      <c r="G35">
        <v>1.4490416385334051</v>
      </c>
      <c r="H35" s="11">
        <v>0.66957651144908603</v>
      </c>
      <c r="I35" s="11">
        <v>0.97783139853200773</v>
      </c>
    </row>
    <row r="36" spans="1:9" x14ac:dyDescent="0.2">
      <c r="A36" t="s">
        <v>32</v>
      </c>
      <c r="B36">
        <v>4801664</v>
      </c>
      <c r="C36">
        <v>4984311</v>
      </c>
      <c r="D36" s="8">
        <f t="shared" si="0"/>
        <v>1.0380382717324661</v>
      </c>
      <c r="E36">
        <v>3689.7730106663435</v>
      </c>
      <c r="F36">
        <v>2781.7918813066271</v>
      </c>
      <c r="G36">
        <v>1.3264015311358344</v>
      </c>
      <c r="H36" s="11">
        <v>0.67929991181787874</v>
      </c>
      <c r="I36" s="11">
        <v>0.97942196485555288</v>
      </c>
    </row>
    <row r="37" spans="1:9" x14ac:dyDescent="0.2">
      <c r="A37" t="s">
        <v>33</v>
      </c>
      <c r="B37">
        <v>6432349</v>
      </c>
      <c r="C37">
        <v>5855843</v>
      </c>
      <c r="D37" s="8">
        <f t="shared" si="0"/>
        <v>0.9103739551445359</v>
      </c>
      <c r="E37">
        <v>4251.0525329173061</v>
      </c>
      <c r="F37">
        <v>4040.8102476557651</v>
      </c>
      <c r="G37">
        <v>1.0520297347254826</v>
      </c>
      <c r="H37" s="11">
        <v>0.77200302051926084</v>
      </c>
      <c r="I37" s="11">
        <v>0.95988154890278687</v>
      </c>
    </row>
    <row r="38" spans="1:9" x14ac:dyDescent="0.2">
      <c r="A38" t="s">
        <v>34</v>
      </c>
      <c r="B38">
        <v>1424708</v>
      </c>
      <c r="C38">
        <v>771369</v>
      </c>
      <c r="D38" s="8">
        <f t="shared" si="0"/>
        <v>0.54142252307139427</v>
      </c>
      <c r="E38">
        <v>635.90873116258899</v>
      </c>
      <c r="F38">
        <v>757.31156716417911</v>
      </c>
      <c r="G38">
        <v>0.83969235217653693</v>
      </c>
      <c r="H38" s="11">
        <v>0.44194038712156858</v>
      </c>
      <c r="I38" s="11">
        <v>0.92593010190449598</v>
      </c>
    </row>
    <row r="39" spans="1:9" x14ac:dyDescent="0.2">
      <c r="A39" t="s">
        <v>35</v>
      </c>
      <c r="B39">
        <v>1813500</v>
      </c>
      <c r="C39">
        <v>752621</v>
      </c>
      <c r="D39" s="8">
        <f t="shared" si="0"/>
        <v>0.41501020126826577</v>
      </c>
      <c r="E39">
        <v>598.35428107968357</v>
      </c>
      <c r="F39">
        <v>1078.5100891952413</v>
      </c>
      <c r="G39">
        <v>0.55479711045277413</v>
      </c>
      <c r="H39" s="11">
        <v>0.44565095687985579</v>
      </c>
      <c r="I39" s="11">
        <v>0.92218261097643472</v>
      </c>
    </row>
    <row r="40" spans="1:9" x14ac:dyDescent="0.2">
      <c r="A40" t="s">
        <v>36</v>
      </c>
      <c r="B40">
        <v>4597079</v>
      </c>
      <c r="C40">
        <v>4165937</v>
      </c>
      <c r="D40" s="8">
        <f t="shared" si="0"/>
        <v>0.90621392410267476</v>
      </c>
      <c r="E40">
        <v>3955.66204569819</v>
      </c>
      <c r="F40">
        <v>3029.108475395708</v>
      </c>
      <c r="G40">
        <v>1.3058832583344318</v>
      </c>
      <c r="H40" s="11">
        <v>0.65498917264677536</v>
      </c>
      <c r="I40" s="11">
        <v>0.97730261463100776</v>
      </c>
    </row>
    <row r="41" spans="1:9" x14ac:dyDescent="0.2">
      <c r="A41" t="s">
        <v>37</v>
      </c>
      <c r="B41">
        <v>4987345</v>
      </c>
      <c r="C41">
        <v>4107923</v>
      </c>
      <c r="D41" s="8">
        <f t="shared" si="0"/>
        <v>0.82366930701605767</v>
      </c>
      <c r="E41">
        <v>3908.6359745837594</v>
      </c>
      <c r="F41">
        <v>3336.0326897318282</v>
      </c>
      <c r="G41">
        <v>1.1716419885855378</v>
      </c>
      <c r="H41" s="11">
        <v>0.7489548904235418</v>
      </c>
      <c r="I41" s="11">
        <v>0.97708324617843634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C75C0-7A89-424C-8F5F-825C49464810}">
  <dimension ref="A1:I41"/>
  <sheetViews>
    <sheetView workbookViewId="0">
      <pane ySplit="1" topLeftCell="A2" activePane="bottomLeft" state="frozen"/>
      <selection pane="bottomLeft" activeCell="E1" sqref="B1:E1048576"/>
    </sheetView>
  </sheetViews>
  <sheetFormatPr baseColWidth="10" defaultRowHeight="16" x14ac:dyDescent="0.2"/>
  <sheetData>
    <row r="1" spans="1:9" ht="68" x14ac:dyDescent="0.2">
      <c r="A1" t="s">
        <v>0</v>
      </c>
      <c r="B1" s="3" t="s">
        <v>113</v>
      </c>
      <c r="C1" s="4" t="s">
        <v>114</v>
      </c>
      <c r="D1" s="7" t="s">
        <v>115</v>
      </c>
      <c r="E1" s="13" t="s">
        <v>116</v>
      </c>
      <c r="F1" s="13" t="s">
        <v>117</v>
      </c>
      <c r="G1" s="13" t="s">
        <v>118</v>
      </c>
      <c r="H1" s="14" t="s">
        <v>119</v>
      </c>
      <c r="I1" s="14" t="s">
        <v>120</v>
      </c>
    </row>
    <row r="2" spans="1:9" x14ac:dyDescent="0.2">
      <c r="A2" t="s">
        <v>38</v>
      </c>
      <c r="B2">
        <v>1458234</v>
      </c>
      <c r="C2">
        <v>1395760</v>
      </c>
      <c r="D2" s="8">
        <f>C2/B2</f>
        <v>0.95715776754622373</v>
      </c>
      <c r="E2">
        <v>1073.9689880406074</v>
      </c>
      <c r="F2">
        <v>828.43355245687019</v>
      </c>
      <c r="G2">
        <v>1.2963851896818488</v>
      </c>
      <c r="H2" s="11">
        <v>0.24075305247156739</v>
      </c>
      <c r="I2" s="11">
        <v>0.94297635455378448</v>
      </c>
    </row>
    <row r="3" spans="1:9" x14ac:dyDescent="0.2">
      <c r="A3" t="s">
        <v>39</v>
      </c>
      <c r="B3">
        <v>1464028</v>
      </c>
      <c r="C3">
        <v>2001935</v>
      </c>
      <c r="D3" s="8">
        <f t="shared" ref="D3:D41" si="0">C3/B3</f>
        <v>1.3674157871297543</v>
      </c>
      <c r="E3">
        <v>1556.7488265141296</v>
      </c>
      <c r="F3">
        <v>799.59463902244352</v>
      </c>
      <c r="G3">
        <v>1.946922541173308</v>
      </c>
      <c r="H3" s="11">
        <v>0.30485816682330791</v>
      </c>
      <c r="I3" s="11">
        <v>0.95623336134519443</v>
      </c>
    </row>
    <row r="4" spans="1:9" x14ac:dyDescent="0.2">
      <c r="A4" t="s">
        <v>40</v>
      </c>
      <c r="B4">
        <v>2053504</v>
      </c>
      <c r="C4">
        <v>982372</v>
      </c>
      <c r="D4" s="8">
        <f t="shared" si="0"/>
        <v>0.47838815994514744</v>
      </c>
      <c r="E4">
        <v>649.75442768950506</v>
      </c>
      <c r="F4">
        <v>815.48398441453298</v>
      </c>
      <c r="G4">
        <v>0.79677153703513692</v>
      </c>
      <c r="H4" s="11">
        <v>0.22608899100805741</v>
      </c>
      <c r="I4" s="11">
        <v>0.91193928061850182</v>
      </c>
    </row>
    <row r="5" spans="1:9" x14ac:dyDescent="0.2">
      <c r="A5" t="s">
        <v>41</v>
      </c>
      <c r="B5">
        <v>4540227</v>
      </c>
      <c r="C5">
        <v>5180683</v>
      </c>
      <c r="D5" s="8">
        <f t="shared" si="0"/>
        <v>1.1410625503967093</v>
      </c>
      <c r="E5">
        <v>4335.0556624460633</v>
      </c>
      <c r="F5">
        <v>2306.1353717196012</v>
      </c>
      <c r="G5">
        <v>1.8797923641462426</v>
      </c>
      <c r="H5" s="11">
        <v>0.16885566788980591</v>
      </c>
      <c r="I5" s="11">
        <v>0.94456715292178095</v>
      </c>
    </row>
    <row r="6" spans="1:9" x14ac:dyDescent="0.2">
      <c r="A6" t="s">
        <v>42</v>
      </c>
      <c r="B6">
        <v>6009989</v>
      </c>
      <c r="C6">
        <v>6005650</v>
      </c>
      <c r="D6" s="8">
        <f t="shared" si="0"/>
        <v>0.99927803528425763</v>
      </c>
      <c r="E6">
        <v>4285.9845914203852</v>
      </c>
      <c r="F6">
        <v>1880.4544816263719</v>
      </c>
      <c r="G6">
        <v>2.2792280447615583</v>
      </c>
      <c r="H6" s="11">
        <v>0.15523805651361211</v>
      </c>
      <c r="I6" s="11">
        <v>0.95540364435235892</v>
      </c>
    </row>
    <row r="7" spans="1:9" x14ac:dyDescent="0.2">
      <c r="A7" t="s">
        <v>43</v>
      </c>
      <c r="B7">
        <v>2149150</v>
      </c>
      <c r="C7">
        <v>677595</v>
      </c>
      <c r="D7" s="8">
        <f t="shared" si="0"/>
        <v>0.31528511271898191</v>
      </c>
      <c r="E7">
        <v>456.25636960426084</v>
      </c>
      <c r="F7">
        <v>1035.2482194834954</v>
      </c>
      <c r="G7">
        <v>0.44072171390151788</v>
      </c>
      <c r="H7" s="11">
        <v>0.2292712922644343</v>
      </c>
      <c r="I7" s="11">
        <v>0.90120767649826428</v>
      </c>
    </row>
    <row r="8" spans="1:9" x14ac:dyDescent="0.2">
      <c r="A8" t="s">
        <v>44</v>
      </c>
      <c r="B8">
        <v>3650553</v>
      </c>
      <c r="C8">
        <v>5176763</v>
      </c>
      <c r="D8" s="8">
        <f t="shared" si="0"/>
        <v>1.4180763845915947</v>
      </c>
      <c r="E8">
        <v>4310.6432731699679</v>
      </c>
      <c r="F8">
        <v>1877.8462121326929</v>
      </c>
      <c r="G8">
        <v>2.2955251848202827</v>
      </c>
      <c r="H8" s="11">
        <v>0.18819213134898249</v>
      </c>
      <c r="I8" s="11">
        <v>0.94742824047729579</v>
      </c>
    </row>
    <row r="9" spans="1:9" x14ac:dyDescent="0.2">
      <c r="A9" t="s">
        <v>45</v>
      </c>
      <c r="B9">
        <v>3716294</v>
      </c>
      <c r="C9">
        <v>4470098</v>
      </c>
      <c r="D9" s="8">
        <f t="shared" si="0"/>
        <v>1.2028375580618755</v>
      </c>
      <c r="E9">
        <v>4044.8626044631324</v>
      </c>
      <c r="F9">
        <v>2213.0029223456945</v>
      </c>
      <c r="G9">
        <v>1.8277710181131346</v>
      </c>
      <c r="H9" s="11">
        <v>0.2136609216527971</v>
      </c>
      <c r="I9" s="11">
        <v>0.97856102103612741</v>
      </c>
    </row>
    <row r="10" spans="1:9" x14ac:dyDescent="0.2">
      <c r="A10" t="s">
        <v>46</v>
      </c>
      <c r="B10">
        <v>3169145</v>
      </c>
      <c r="C10">
        <v>1006413</v>
      </c>
      <c r="D10" s="8">
        <f t="shared" si="0"/>
        <v>0.31756609432512556</v>
      </c>
      <c r="E10">
        <v>617.34111982780598</v>
      </c>
      <c r="F10">
        <v>892.70600319087669</v>
      </c>
      <c r="G10">
        <v>0.69153911547720071</v>
      </c>
      <c r="H10" s="11">
        <v>0.2025057620387512</v>
      </c>
      <c r="I10" s="11">
        <v>0.91010908418144121</v>
      </c>
    </row>
    <row r="11" spans="1:9" x14ac:dyDescent="0.2">
      <c r="A11" t="s">
        <v>47</v>
      </c>
      <c r="B11">
        <v>1947164</v>
      </c>
      <c r="C11">
        <v>1003614</v>
      </c>
      <c r="D11" s="8">
        <f t="shared" si="0"/>
        <v>0.51542345688396052</v>
      </c>
      <c r="E11">
        <v>896.23375691870206</v>
      </c>
      <c r="F11">
        <v>882.54250241202453</v>
      </c>
      <c r="G11">
        <v>1.0155134222649433</v>
      </c>
      <c r="H11" s="11">
        <v>0.170807218530108</v>
      </c>
      <c r="I11" s="11">
        <v>0.92128703898802522</v>
      </c>
    </row>
    <row r="12" spans="1:9" s="5" customFormat="1" x14ac:dyDescent="0.2">
      <c r="A12" s="5" t="s">
        <v>48</v>
      </c>
      <c r="B12" s="5">
        <v>4428850</v>
      </c>
      <c r="C12" s="5">
        <v>4256902</v>
      </c>
      <c r="D12" s="5">
        <f t="shared" si="0"/>
        <v>0.9611754744459623</v>
      </c>
      <c r="E12">
        <v>4316.2813455657488</v>
      </c>
      <c r="F12">
        <v>4233.8264594870107</v>
      </c>
      <c r="G12">
        <v>1.019475263539434</v>
      </c>
      <c r="H12" s="11">
        <v>0.80721887335899922</v>
      </c>
      <c r="I12" s="11">
        <v>0.94873333597841625</v>
      </c>
    </row>
    <row r="13" spans="1:9" x14ac:dyDescent="0.2">
      <c r="A13" t="s">
        <v>49</v>
      </c>
      <c r="B13">
        <v>5388104</v>
      </c>
      <c r="C13">
        <v>6711577</v>
      </c>
      <c r="D13" s="8">
        <f t="shared" si="0"/>
        <v>1.2456287035291078</v>
      </c>
      <c r="E13">
        <v>4907.363636363636</v>
      </c>
      <c r="F13">
        <v>4343.4737682951964</v>
      </c>
      <c r="G13">
        <v>1.1298246284309357</v>
      </c>
      <c r="H13" s="11">
        <v>0.7712433554678817</v>
      </c>
      <c r="I13" s="11">
        <v>0.83446027305903936</v>
      </c>
    </row>
    <row r="14" spans="1:9" x14ac:dyDescent="0.2">
      <c r="A14" t="s">
        <v>50</v>
      </c>
      <c r="B14">
        <v>3027667</v>
      </c>
      <c r="C14">
        <v>3441478</v>
      </c>
      <c r="D14" s="8">
        <f t="shared" si="0"/>
        <v>1.1366765235410632</v>
      </c>
      <c r="E14">
        <v>4249.1987931762314</v>
      </c>
      <c r="F14">
        <v>3185.8383551439001</v>
      </c>
      <c r="G14">
        <v>1.3337772728849895</v>
      </c>
      <c r="H14" s="11">
        <v>0.62564523579543119</v>
      </c>
      <c r="I14" s="11">
        <v>0.96289842962745809</v>
      </c>
    </row>
    <row r="15" spans="1:9" x14ac:dyDescent="0.2">
      <c r="A15" t="s">
        <v>51</v>
      </c>
      <c r="B15">
        <v>2903646</v>
      </c>
      <c r="C15">
        <v>3758060</v>
      </c>
      <c r="D15" s="8">
        <f t="shared" si="0"/>
        <v>1.2942555669664966</v>
      </c>
      <c r="E15">
        <v>4230.1894544801526</v>
      </c>
      <c r="F15">
        <v>2509.540548703339</v>
      </c>
      <c r="G15">
        <v>1.6856429981439671</v>
      </c>
      <c r="H15" s="11">
        <v>0.43363948869483471</v>
      </c>
      <c r="I15" s="11">
        <v>0.96087093892496045</v>
      </c>
    </row>
    <row r="16" spans="1:9" x14ac:dyDescent="0.2">
      <c r="A16" t="s">
        <v>48</v>
      </c>
      <c r="B16">
        <v>3306279</v>
      </c>
      <c r="C16">
        <v>1490144</v>
      </c>
      <c r="D16" s="8">
        <f t="shared" si="0"/>
        <v>0.45070122636353438</v>
      </c>
      <c r="E16">
        <v>4316.2813455657488</v>
      </c>
      <c r="F16">
        <v>4233.8264594870107</v>
      </c>
      <c r="G16">
        <v>1.019475263539434</v>
      </c>
      <c r="H16" s="11">
        <v>0.80721887335899922</v>
      </c>
      <c r="I16" s="11">
        <v>0.94873333597841625</v>
      </c>
    </row>
    <row r="17" spans="1:9" x14ac:dyDescent="0.2">
      <c r="A17" t="s">
        <v>52</v>
      </c>
      <c r="B17">
        <v>2892178</v>
      </c>
      <c r="C17">
        <v>2461270</v>
      </c>
      <c r="D17" s="8">
        <f t="shared" si="0"/>
        <v>0.85100917025162348</v>
      </c>
      <c r="E17">
        <v>2161.3203944352449</v>
      </c>
      <c r="F17">
        <v>1501.8384976657599</v>
      </c>
      <c r="G17">
        <v>1.439116388209843</v>
      </c>
      <c r="H17" s="11">
        <v>0.24676849789856081</v>
      </c>
      <c r="I17" s="11">
        <v>0.96586221061351696</v>
      </c>
    </row>
    <row r="18" spans="1:9" x14ac:dyDescent="0.2">
      <c r="A18" t="s">
        <v>53</v>
      </c>
      <c r="B18">
        <v>2915087</v>
      </c>
      <c r="C18">
        <v>742402</v>
      </c>
      <c r="D18" s="8">
        <f t="shared" si="0"/>
        <v>0.25467576096356642</v>
      </c>
      <c r="E18">
        <v>677.18114518976176</v>
      </c>
      <c r="F18">
        <v>1699.3011584289497</v>
      </c>
      <c r="G18">
        <v>0.39850566912802804</v>
      </c>
      <c r="H18" s="11">
        <v>0.37024511601411969</v>
      </c>
      <c r="I18" s="11">
        <v>0.91323254941344689</v>
      </c>
    </row>
    <row r="19" spans="1:9" x14ac:dyDescent="0.2">
      <c r="A19" t="s">
        <v>54</v>
      </c>
      <c r="B19">
        <v>1688537</v>
      </c>
      <c r="C19">
        <v>894008</v>
      </c>
      <c r="D19" s="8">
        <f t="shared" si="0"/>
        <v>0.52945715729060128</v>
      </c>
      <c r="E19">
        <v>758.49725067385441</v>
      </c>
      <c r="F19">
        <v>1077.259173890872</v>
      </c>
      <c r="G19">
        <v>0.70409913329797391</v>
      </c>
      <c r="H19" s="11">
        <v>0.25653391515374419</v>
      </c>
      <c r="I19" s="11">
        <v>0.91349045680052288</v>
      </c>
    </row>
    <row r="20" spans="1:9" x14ac:dyDescent="0.2">
      <c r="A20" t="s">
        <v>55</v>
      </c>
      <c r="B20">
        <v>4339839</v>
      </c>
      <c r="C20">
        <v>4363387</v>
      </c>
      <c r="D20" s="8">
        <f t="shared" si="0"/>
        <v>1.0054260077389967</v>
      </c>
      <c r="E20">
        <v>3291.5040036171108</v>
      </c>
      <c r="F20">
        <v>1953.9088575470735</v>
      </c>
      <c r="G20">
        <v>1.6845739712492256</v>
      </c>
      <c r="H20" s="11">
        <v>0.30918248249425168</v>
      </c>
      <c r="I20" s="11">
        <v>0.97347404816038663</v>
      </c>
    </row>
    <row r="21" spans="1:9" x14ac:dyDescent="0.2">
      <c r="A21" t="s">
        <v>56</v>
      </c>
      <c r="B21">
        <v>1111335</v>
      </c>
      <c r="C21">
        <v>537267</v>
      </c>
      <c r="D21" s="8">
        <f t="shared" si="0"/>
        <v>0.48344288625841891</v>
      </c>
      <c r="E21">
        <v>629.62771526801066</v>
      </c>
      <c r="F21">
        <v>1116.4424441318956</v>
      </c>
      <c r="G21">
        <v>0.56395895603699109</v>
      </c>
      <c r="H21" s="11">
        <v>0.19035373337764769</v>
      </c>
      <c r="I21" s="11">
        <v>0.8497838569998134</v>
      </c>
    </row>
    <row r="22" spans="1:9" s="5" customFormat="1" x14ac:dyDescent="0.2">
      <c r="A22" s="5" t="s">
        <v>57</v>
      </c>
      <c r="B22" s="5">
        <v>3224439</v>
      </c>
      <c r="C22" s="5">
        <v>4118994</v>
      </c>
      <c r="D22" s="5">
        <f t="shared" si="0"/>
        <v>1.2774296552051381</v>
      </c>
      <c r="E22">
        <v>4073.328820463405</v>
      </c>
      <c r="F22">
        <v>3411.9135867898904</v>
      </c>
      <c r="G22">
        <v>1.1938546263992018</v>
      </c>
      <c r="H22" s="11">
        <v>0.76669882165552294</v>
      </c>
      <c r="I22" s="11">
        <v>0.9718847909419569</v>
      </c>
    </row>
    <row r="23" spans="1:9" x14ac:dyDescent="0.2">
      <c r="A23" t="s">
        <v>58</v>
      </c>
      <c r="B23">
        <v>3552291</v>
      </c>
      <c r="C23">
        <v>4696270</v>
      </c>
      <c r="D23" s="8">
        <f t="shared" si="0"/>
        <v>1.3220397765836189</v>
      </c>
      <c r="E23">
        <v>4139.4240770490769</v>
      </c>
      <c r="F23">
        <v>3146.0458325458326</v>
      </c>
      <c r="G23">
        <v>1.3157545367669949</v>
      </c>
      <c r="H23" s="11">
        <v>0.81425679266605844</v>
      </c>
      <c r="I23" s="11">
        <v>0.96956436169839666</v>
      </c>
    </row>
    <row r="24" spans="1:9" x14ac:dyDescent="0.2">
      <c r="A24" t="s">
        <v>59</v>
      </c>
      <c r="B24">
        <v>3007886</v>
      </c>
      <c r="C24">
        <v>4287426</v>
      </c>
      <c r="D24" s="8">
        <f t="shared" si="0"/>
        <v>1.4253951113838756</v>
      </c>
      <c r="E24">
        <v>4035.6592773263542</v>
      </c>
      <c r="F24">
        <v>2478.6672823689005</v>
      </c>
      <c r="G24">
        <v>1.6281569156266156</v>
      </c>
      <c r="H24" s="11">
        <v>0.73529179391637323</v>
      </c>
      <c r="I24" s="11">
        <v>0.97625969544588531</v>
      </c>
    </row>
    <row r="25" spans="1:9" x14ac:dyDescent="0.2">
      <c r="A25" t="s">
        <v>60</v>
      </c>
      <c r="B25">
        <v>2985124</v>
      </c>
      <c r="C25">
        <v>2870349</v>
      </c>
      <c r="D25" s="8">
        <f t="shared" si="0"/>
        <v>0.96155101094627893</v>
      </c>
      <c r="E25">
        <v>2690.7662234468248</v>
      </c>
      <c r="F25">
        <v>2621.1273180435828</v>
      </c>
      <c r="G25">
        <v>1.0265683032349686</v>
      </c>
      <c r="H25" s="11">
        <v>0.60707708358564927</v>
      </c>
      <c r="I25" s="11">
        <v>0.96212109902428811</v>
      </c>
    </row>
    <row r="26" spans="1:9" x14ac:dyDescent="0.2">
      <c r="A26" t="s">
        <v>61</v>
      </c>
      <c r="B26">
        <v>4431899</v>
      </c>
      <c r="C26">
        <v>6377189</v>
      </c>
      <c r="D26" s="8">
        <f t="shared" si="0"/>
        <v>1.4389292265008746</v>
      </c>
      <c r="E26">
        <v>4214.1104821076324</v>
      </c>
      <c r="F26">
        <v>2850.3461872547632</v>
      </c>
      <c r="G26">
        <v>1.4784556700343627</v>
      </c>
      <c r="H26" s="11">
        <v>0.80574272501787958</v>
      </c>
      <c r="I26" s="11">
        <v>0.96228795946647161</v>
      </c>
    </row>
    <row r="27" spans="1:9" x14ac:dyDescent="0.2">
      <c r="A27" t="s">
        <v>62</v>
      </c>
      <c r="B27">
        <v>3405705</v>
      </c>
      <c r="C27">
        <v>3775052</v>
      </c>
      <c r="D27" s="8">
        <f t="shared" si="0"/>
        <v>1.1084494987087843</v>
      </c>
      <c r="E27">
        <v>3767.8549188527772</v>
      </c>
      <c r="F27">
        <v>2746.7645393940893</v>
      </c>
      <c r="G27">
        <v>1.3717429596946562</v>
      </c>
      <c r="H27" s="11">
        <v>0.61537851062863047</v>
      </c>
      <c r="I27" s="11">
        <v>0.96827212270150353</v>
      </c>
    </row>
    <row r="28" spans="1:9" x14ac:dyDescent="0.2">
      <c r="A28" t="s">
        <v>63</v>
      </c>
      <c r="B28">
        <v>4332785</v>
      </c>
      <c r="C28">
        <v>3329199</v>
      </c>
      <c r="D28" s="8">
        <f t="shared" si="0"/>
        <v>0.76837392116156233</v>
      </c>
      <c r="E28">
        <v>2795.8019759037547</v>
      </c>
      <c r="F28">
        <v>2801.1459950689732</v>
      </c>
      <c r="G28">
        <v>0.99809220255758679</v>
      </c>
      <c r="H28" s="11">
        <v>0.57620616591432594</v>
      </c>
      <c r="I28" s="11">
        <v>0.9640789350793062</v>
      </c>
    </row>
    <row r="29" spans="1:9" x14ac:dyDescent="0.2">
      <c r="A29" t="s">
        <v>64</v>
      </c>
      <c r="B29">
        <v>9011549</v>
      </c>
      <c r="C29">
        <v>2770798</v>
      </c>
      <c r="D29" s="8">
        <f t="shared" si="0"/>
        <v>0.30747188968289468</v>
      </c>
      <c r="E29">
        <v>1820.3733279001799</v>
      </c>
      <c r="F29">
        <v>2877.9393547661871</v>
      </c>
      <c r="G29">
        <v>0.63252664615237275</v>
      </c>
      <c r="H29" s="11">
        <v>0.53240469252023903</v>
      </c>
      <c r="I29" s="11">
        <v>0.96649575477720662</v>
      </c>
    </row>
    <row r="30" spans="1:9" x14ac:dyDescent="0.2">
      <c r="A30" t="s">
        <v>65</v>
      </c>
      <c r="B30">
        <v>2884019</v>
      </c>
      <c r="C30">
        <v>831824</v>
      </c>
      <c r="D30" s="8">
        <f t="shared" si="0"/>
        <v>0.28842528429944464</v>
      </c>
      <c r="E30">
        <v>570.2556912628429</v>
      </c>
      <c r="F30">
        <v>1458.6042712175663</v>
      </c>
      <c r="G30">
        <v>0.39095983915282478</v>
      </c>
      <c r="H30" s="11">
        <v>0.3860326505951181</v>
      </c>
      <c r="I30" s="11">
        <v>0.90828132336688039</v>
      </c>
    </row>
    <row r="31" spans="1:9" x14ac:dyDescent="0.2">
      <c r="A31" t="s">
        <v>66</v>
      </c>
      <c r="B31">
        <v>2985290</v>
      </c>
      <c r="C31">
        <v>694767</v>
      </c>
      <c r="D31" s="8">
        <f t="shared" si="0"/>
        <v>0.23273015351942358</v>
      </c>
      <c r="E31">
        <v>454.39095279720277</v>
      </c>
      <c r="F31">
        <v>1159.7506555944055</v>
      </c>
      <c r="G31">
        <v>0.39180055696050831</v>
      </c>
      <c r="H31" s="11">
        <v>0.29730212007908768</v>
      </c>
      <c r="I31" s="11">
        <v>0.85676621813279807</v>
      </c>
    </row>
    <row r="32" spans="1:9" s="5" customFormat="1" x14ac:dyDescent="0.2">
      <c r="A32" s="5" t="s">
        <v>67</v>
      </c>
      <c r="B32" s="5">
        <v>4949427</v>
      </c>
      <c r="C32" s="5">
        <v>7034144</v>
      </c>
      <c r="D32" s="5">
        <f t="shared" si="0"/>
        <v>1.4212037070149737</v>
      </c>
      <c r="E32">
        <v>4099.5159596768635</v>
      </c>
      <c r="F32">
        <v>2358.3962104762559</v>
      </c>
      <c r="G32">
        <v>1.7382643092226666</v>
      </c>
      <c r="H32" s="11">
        <v>0.65372405755332008</v>
      </c>
      <c r="I32" s="11">
        <v>0.95763595837031024</v>
      </c>
    </row>
    <row r="33" spans="1:9" x14ac:dyDescent="0.2">
      <c r="A33" t="s">
        <v>68</v>
      </c>
      <c r="B33">
        <v>12279399</v>
      </c>
      <c r="C33">
        <v>6637067</v>
      </c>
      <c r="D33" s="8">
        <f t="shared" si="0"/>
        <v>0.540504221745706</v>
      </c>
      <c r="E33">
        <v>3230.3994993895758</v>
      </c>
      <c r="F33">
        <v>4503.9259670599577</v>
      </c>
      <c r="G33">
        <v>0.71724080791192357</v>
      </c>
      <c r="H33" s="11">
        <v>0.58290617103799103</v>
      </c>
      <c r="I33" s="11">
        <v>0.97341118598990395</v>
      </c>
    </row>
    <row r="34" spans="1:9" x14ac:dyDescent="0.2">
      <c r="A34" t="s">
        <v>69</v>
      </c>
      <c r="B34">
        <v>2284258</v>
      </c>
      <c r="C34">
        <v>3334814</v>
      </c>
      <c r="D34" s="8">
        <f t="shared" si="0"/>
        <v>1.4599112709685158</v>
      </c>
      <c r="E34">
        <v>3935.9937754323255</v>
      </c>
      <c r="F34">
        <v>2188.7163660490678</v>
      </c>
      <c r="G34">
        <v>1.7983114836105203</v>
      </c>
      <c r="H34" s="11">
        <v>0.69349223535755067</v>
      </c>
      <c r="I34" s="11">
        <v>0.97383441160528839</v>
      </c>
    </row>
    <row r="35" spans="1:9" x14ac:dyDescent="0.2">
      <c r="A35" t="s">
        <v>70</v>
      </c>
      <c r="B35">
        <v>2403874</v>
      </c>
      <c r="C35">
        <v>2605296</v>
      </c>
      <c r="D35" s="8">
        <f t="shared" si="0"/>
        <v>1.0837905813699054</v>
      </c>
      <c r="E35">
        <v>3046.4851744490616</v>
      </c>
      <c r="F35">
        <v>2020.1921035169212</v>
      </c>
      <c r="G35">
        <v>1.5080175638472613</v>
      </c>
      <c r="H35" s="11">
        <v>0.66594086018414944</v>
      </c>
      <c r="I35" s="11">
        <v>0.97314969928353789</v>
      </c>
    </row>
    <row r="36" spans="1:9" x14ac:dyDescent="0.2">
      <c r="A36" t="s">
        <v>71</v>
      </c>
      <c r="B36">
        <v>10393248</v>
      </c>
      <c r="C36">
        <v>5591526</v>
      </c>
      <c r="D36" s="8">
        <f t="shared" si="0"/>
        <v>0.53799601433546085</v>
      </c>
      <c r="E36">
        <v>3075.1887262737255</v>
      </c>
      <c r="F36">
        <v>3420.182722277722</v>
      </c>
      <c r="G36">
        <v>0.89912995181314681</v>
      </c>
      <c r="H36" s="11">
        <v>0.50415780477321459</v>
      </c>
      <c r="I36" s="11">
        <v>0.97100133631654517</v>
      </c>
    </row>
    <row r="37" spans="1:9" x14ac:dyDescent="0.2">
      <c r="A37" t="s">
        <v>72</v>
      </c>
      <c r="B37">
        <v>12946219</v>
      </c>
      <c r="C37">
        <v>6265837</v>
      </c>
      <c r="D37" s="8">
        <f t="shared" si="0"/>
        <v>0.48398972703922283</v>
      </c>
      <c r="E37">
        <v>4027.3620665485728</v>
      </c>
      <c r="F37">
        <v>5078.5167836980208</v>
      </c>
      <c r="G37">
        <v>0.7930193475930527</v>
      </c>
      <c r="H37" s="11">
        <v>0.52577215979035863</v>
      </c>
      <c r="I37" s="11">
        <v>0.97091271253187039</v>
      </c>
    </row>
    <row r="38" spans="1:9" x14ac:dyDescent="0.2">
      <c r="A38" t="s">
        <v>73</v>
      </c>
      <c r="B38">
        <v>2963525</v>
      </c>
      <c r="C38">
        <v>2618566</v>
      </c>
      <c r="D38" s="8">
        <f t="shared" si="0"/>
        <v>0.88359841742519463</v>
      </c>
      <c r="E38">
        <v>2033.6176152483661</v>
      </c>
      <c r="F38">
        <v>1774.3240787184345</v>
      </c>
      <c r="G38">
        <v>1.1461365145409146</v>
      </c>
      <c r="H38" s="11">
        <v>0.67392505389734558</v>
      </c>
      <c r="I38" s="11">
        <v>0.9691186676962541</v>
      </c>
    </row>
    <row r="39" spans="1:9" x14ac:dyDescent="0.2">
      <c r="A39" t="s">
        <v>74</v>
      </c>
      <c r="B39">
        <v>4048125</v>
      </c>
      <c r="C39">
        <v>1021431</v>
      </c>
      <c r="D39" s="8">
        <f t="shared" si="0"/>
        <v>0.25232200092635482</v>
      </c>
      <c r="E39">
        <v>548.84459198209197</v>
      </c>
      <c r="F39">
        <v>1427.3480413105412</v>
      </c>
      <c r="G39">
        <v>0.38452050663001713</v>
      </c>
      <c r="H39" s="11">
        <v>0.42706620792005823</v>
      </c>
      <c r="I39" s="11">
        <v>0.91876199986590767</v>
      </c>
    </row>
    <row r="40" spans="1:9" x14ac:dyDescent="0.2">
      <c r="A40" t="s">
        <v>75</v>
      </c>
      <c r="B40">
        <v>4155315</v>
      </c>
      <c r="C40">
        <v>2868198</v>
      </c>
      <c r="D40" s="8">
        <f t="shared" si="0"/>
        <v>0.69024803173766613</v>
      </c>
      <c r="E40">
        <v>2304.5405225441641</v>
      </c>
      <c r="F40">
        <v>1888.0983661663038</v>
      </c>
      <c r="G40">
        <v>1.2205616846242109</v>
      </c>
      <c r="H40" s="11">
        <v>0.44117313921620122</v>
      </c>
      <c r="I40" s="11">
        <v>0.96585640415635987</v>
      </c>
    </row>
    <row r="41" spans="1:9" x14ac:dyDescent="0.2">
      <c r="A41" t="s">
        <v>76</v>
      </c>
      <c r="B41">
        <v>2875657</v>
      </c>
      <c r="C41">
        <v>1943238</v>
      </c>
      <c r="D41" s="8">
        <f t="shared" si="0"/>
        <v>0.67575444498422443</v>
      </c>
      <c r="E41">
        <v>1593.6077107808139</v>
      </c>
      <c r="F41">
        <v>1630.8706767137687</v>
      </c>
      <c r="G41">
        <v>0.97715148940684848</v>
      </c>
      <c r="H41" s="11">
        <v>0.58218488797655077</v>
      </c>
      <c r="I41" s="11">
        <v>0.96136097215159189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C89A9-8C68-3945-A255-06FDA479ADDF}">
  <dimension ref="A1:I41"/>
  <sheetViews>
    <sheetView workbookViewId="0">
      <selection activeCell="E1" sqref="B1:E1048576"/>
    </sheetView>
  </sheetViews>
  <sheetFormatPr baseColWidth="10" defaultRowHeight="16" x14ac:dyDescent="0.2"/>
  <sheetData>
    <row r="1" spans="1:9" ht="68" x14ac:dyDescent="0.2">
      <c r="A1" t="s">
        <v>0</v>
      </c>
      <c r="B1" s="3" t="s">
        <v>113</v>
      </c>
      <c r="C1" s="4" t="s">
        <v>114</v>
      </c>
      <c r="D1" s="7" t="s">
        <v>115</v>
      </c>
      <c r="E1" s="13" t="s">
        <v>116</v>
      </c>
      <c r="F1" s="13" t="s">
        <v>117</v>
      </c>
      <c r="G1" s="13" t="s">
        <v>118</v>
      </c>
      <c r="H1" s="14" t="s">
        <v>119</v>
      </c>
      <c r="I1" s="14" t="s">
        <v>120</v>
      </c>
    </row>
    <row r="2" spans="1:9" x14ac:dyDescent="0.2">
      <c r="A2" t="s">
        <v>77</v>
      </c>
      <c r="B2">
        <v>2151487</v>
      </c>
      <c r="C2">
        <v>3034631</v>
      </c>
      <c r="D2" s="8">
        <f>C2/B2</f>
        <v>1.4104807512199702</v>
      </c>
      <c r="E2">
        <v>1941.2556837085508</v>
      </c>
      <c r="F2">
        <v>982.82080884255663</v>
      </c>
      <c r="G2">
        <v>1.9751878127150349</v>
      </c>
      <c r="H2" s="11">
        <v>0.17347944921843669</v>
      </c>
      <c r="I2" s="11">
        <v>0.96160463977356425</v>
      </c>
    </row>
    <row r="3" spans="1:9" x14ac:dyDescent="0.2">
      <c r="A3" t="s">
        <v>78</v>
      </c>
      <c r="B3">
        <v>5043097</v>
      </c>
      <c r="C3">
        <v>4626233</v>
      </c>
      <c r="D3" s="8">
        <f t="shared" ref="D3:D41" si="0">C3/B3</f>
        <v>0.91733968234202123</v>
      </c>
      <c r="E3">
        <v>4186.0996015936253</v>
      </c>
      <c r="F3">
        <v>1988.9367789612531</v>
      </c>
      <c r="G3">
        <v>2.1046921379672345</v>
      </c>
      <c r="H3" s="11">
        <v>0.23440219936099271</v>
      </c>
      <c r="I3" s="11">
        <v>0.97292626929130221</v>
      </c>
    </row>
    <row r="4" spans="1:9" x14ac:dyDescent="0.2">
      <c r="A4" t="s">
        <v>79</v>
      </c>
      <c r="B4">
        <v>2972573</v>
      </c>
      <c r="C4">
        <v>2908685</v>
      </c>
      <c r="D4" s="8">
        <f t="shared" si="0"/>
        <v>0.97850750847834522</v>
      </c>
      <c r="E4">
        <v>4259.014880400222</v>
      </c>
      <c r="F4">
        <v>2268.636408999891</v>
      </c>
      <c r="G4">
        <v>1.877345732222367</v>
      </c>
      <c r="H4" s="11">
        <v>0.20473174631327909</v>
      </c>
      <c r="I4" s="11">
        <v>0.95755264102270121</v>
      </c>
    </row>
    <row r="5" spans="1:9" x14ac:dyDescent="0.2">
      <c r="A5" t="s">
        <v>80</v>
      </c>
      <c r="B5">
        <v>2012389</v>
      </c>
      <c r="C5">
        <v>4826059</v>
      </c>
      <c r="D5" s="8">
        <f t="shared" si="0"/>
        <v>2.3981740110883134</v>
      </c>
      <c r="E5">
        <v>4330.7420723041396</v>
      </c>
      <c r="F5">
        <v>1711.7207680094157</v>
      </c>
      <c r="G5">
        <v>2.5300517194404439</v>
      </c>
      <c r="H5" s="11">
        <v>0.1992350984710112</v>
      </c>
      <c r="I5" s="11">
        <v>0.93761023148688516</v>
      </c>
    </row>
    <row r="6" spans="1:9" x14ac:dyDescent="0.2">
      <c r="A6" t="s">
        <v>81</v>
      </c>
      <c r="B6">
        <v>2696828</v>
      </c>
      <c r="C6">
        <v>1140136</v>
      </c>
      <c r="D6" s="8">
        <f t="shared" si="0"/>
        <v>0.42276926819211308</v>
      </c>
      <c r="E6">
        <v>1209.1734916027374</v>
      </c>
      <c r="F6">
        <v>1665.1900787891352</v>
      </c>
      <c r="G6">
        <v>0.72614742725467341</v>
      </c>
      <c r="H6" s="11">
        <v>0.21250420274375159</v>
      </c>
      <c r="I6" s="11">
        <v>0.94871360365236113</v>
      </c>
    </row>
    <row r="7" spans="1:9" x14ac:dyDescent="0.2">
      <c r="A7" t="s">
        <v>82</v>
      </c>
      <c r="B7">
        <v>2308958</v>
      </c>
      <c r="C7">
        <v>848788</v>
      </c>
      <c r="D7" s="8">
        <f t="shared" si="0"/>
        <v>0.36760651341427603</v>
      </c>
      <c r="E7">
        <v>850.33278939820991</v>
      </c>
      <c r="F7">
        <v>1561.1202172697499</v>
      </c>
      <c r="G7">
        <v>0.54469398319967999</v>
      </c>
      <c r="H7" s="11">
        <v>0.23823055901902529</v>
      </c>
      <c r="I7" s="11">
        <v>0.9424190580753512</v>
      </c>
    </row>
    <row r="8" spans="1:9" x14ac:dyDescent="0.2">
      <c r="A8" t="s">
        <v>83</v>
      </c>
      <c r="B8">
        <v>9454666</v>
      </c>
      <c r="C8">
        <v>2644446</v>
      </c>
      <c r="D8" s="8">
        <f t="shared" si="0"/>
        <v>0.27969745308824234</v>
      </c>
      <c r="E8">
        <v>1696.1599511599511</v>
      </c>
      <c r="F8">
        <v>3181.2887667887671</v>
      </c>
      <c r="G8">
        <v>0.53316755425257301</v>
      </c>
      <c r="H8" s="11">
        <v>0.16071001243343111</v>
      </c>
      <c r="I8" s="11">
        <v>0.96388667931224381</v>
      </c>
    </row>
    <row r="9" spans="1:9" x14ac:dyDescent="0.2">
      <c r="A9" t="s">
        <v>84</v>
      </c>
      <c r="B9">
        <v>5191787</v>
      </c>
      <c r="C9">
        <v>2669771</v>
      </c>
      <c r="D9" s="8">
        <f t="shared" si="0"/>
        <v>0.5142296862332757</v>
      </c>
      <c r="E9">
        <v>1550.2070643651878</v>
      </c>
      <c r="F9">
        <v>2020.8356822909836</v>
      </c>
      <c r="G9">
        <v>0.7671118824504064</v>
      </c>
      <c r="H9" s="11">
        <v>0.18250048565634791</v>
      </c>
      <c r="I9" s="11">
        <v>0.96351311185462896</v>
      </c>
    </row>
    <row r="10" spans="1:9" x14ac:dyDescent="0.2">
      <c r="A10" t="s">
        <v>85</v>
      </c>
      <c r="B10">
        <v>6118116</v>
      </c>
      <c r="C10">
        <v>3405180</v>
      </c>
      <c r="D10" s="8">
        <f t="shared" si="0"/>
        <v>0.55657329805449918</v>
      </c>
      <c r="E10">
        <v>2208.2058481014287</v>
      </c>
      <c r="F10">
        <v>1867.2686296148956</v>
      </c>
      <c r="G10">
        <v>1.1825860580953731</v>
      </c>
      <c r="H10" s="11">
        <v>0.17503044493807379</v>
      </c>
      <c r="I10" s="11">
        <v>0.9646884625948785</v>
      </c>
    </row>
    <row r="11" spans="1:9" x14ac:dyDescent="0.2">
      <c r="A11" t="s">
        <v>86</v>
      </c>
      <c r="B11">
        <v>1387047</v>
      </c>
      <c r="C11">
        <v>2468987</v>
      </c>
      <c r="D11" s="8">
        <f t="shared" si="0"/>
        <v>1.7800312462375103</v>
      </c>
      <c r="E11">
        <v>1591.2706303924836</v>
      </c>
      <c r="F11">
        <v>1018.7066995205319</v>
      </c>
      <c r="G11">
        <v>1.5620498335207147</v>
      </c>
      <c r="H11" s="11">
        <v>0.18244668782401979</v>
      </c>
      <c r="I11" s="11">
        <v>0.96015426130698422</v>
      </c>
    </row>
    <row r="12" spans="1:9" s="5" customFormat="1" x14ac:dyDescent="0.2">
      <c r="A12" s="5" t="s">
        <v>87</v>
      </c>
      <c r="B12" s="5">
        <v>8247859</v>
      </c>
      <c r="C12" s="5">
        <v>6368388</v>
      </c>
      <c r="D12" s="5">
        <f t="shared" si="0"/>
        <v>0.77212619662872506</v>
      </c>
      <c r="E12">
        <v>4559.7853658536587</v>
      </c>
      <c r="F12">
        <v>6086.9890718370898</v>
      </c>
      <c r="G12">
        <v>0.74910358997531246</v>
      </c>
      <c r="H12" s="11">
        <v>0.66874206757437216</v>
      </c>
      <c r="I12" s="11">
        <v>0.89806858688256608</v>
      </c>
    </row>
    <row r="13" spans="1:9" x14ac:dyDescent="0.2">
      <c r="A13" t="s">
        <v>16</v>
      </c>
      <c r="B13">
        <v>9477945</v>
      </c>
      <c r="C13">
        <v>6661520</v>
      </c>
      <c r="D13" s="8">
        <f t="shared" si="0"/>
        <v>0.70284434020243836</v>
      </c>
      <c r="E13">
        <v>4283.855731225296</v>
      </c>
      <c r="F13">
        <v>6114.3476108296691</v>
      </c>
      <c r="G13">
        <v>0.70062351764851827</v>
      </c>
      <c r="H13" s="11">
        <v>0.66400029846303621</v>
      </c>
      <c r="I13" s="11">
        <v>0.95591454449581137</v>
      </c>
    </row>
    <row r="14" spans="1:9" x14ac:dyDescent="0.2">
      <c r="A14" t="s">
        <v>11</v>
      </c>
      <c r="B14">
        <v>6723345</v>
      </c>
      <c r="C14">
        <v>5741810</v>
      </c>
      <c r="D14" s="8">
        <f t="shared" si="0"/>
        <v>0.85401091272275931</v>
      </c>
      <c r="E14">
        <v>4274.8174687444698</v>
      </c>
      <c r="F14">
        <v>4640.6634396177515</v>
      </c>
      <c r="G14">
        <v>0.92116515760440143</v>
      </c>
      <c r="H14" s="11">
        <v>0.70081681880843583</v>
      </c>
      <c r="I14" s="11">
        <v>0.9575497345846834</v>
      </c>
    </row>
    <row r="15" spans="1:9" x14ac:dyDescent="0.2">
      <c r="A15" t="s">
        <v>88</v>
      </c>
      <c r="B15">
        <v>5564724</v>
      </c>
      <c r="C15">
        <v>3756114</v>
      </c>
      <c r="D15" s="8">
        <f t="shared" si="0"/>
        <v>0.6749865761536421</v>
      </c>
      <c r="E15">
        <v>3485.5258264322797</v>
      </c>
      <c r="F15">
        <v>2463.7737764465105</v>
      </c>
      <c r="G15">
        <v>1.4147101733745366</v>
      </c>
      <c r="H15" s="11">
        <v>0.30670436878777207</v>
      </c>
      <c r="I15" s="11">
        <v>0.97450773943189539</v>
      </c>
    </row>
    <row r="16" spans="1:9" x14ac:dyDescent="0.2">
      <c r="A16" t="s">
        <v>89</v>
      </c>
      <c r="B16">
        <v>5459412</v>
      </c>
      <c r="C16">
        <v>4362317</v>
      </c>
      <c r="D16" s="8">
        <f t="shared" si="0"/>
        <v>0.79904520853161476</v>
      </c>
      <c r="E16">
        <v>3597.9170824208113</v>
      </c>
      <c r="F16">
        <v>2682.0808904438868</v>
      </c>
      <c r="G16">
        <v>1.3414647914759024</v>
      </c>
      <c r="H16" s="11">
        <v>0.3196744547000186</v>
      </c>
      <c r="I16" s="11">
        <v>0.97009294813678537</v>
      </c>
    </row>
    <row r="17" spans="1:9" x14ac:dyDescent="0.2">
      <c r="A17" t="s">
        <v>90</v>
      </c>
      <c r="B17">
        <v>2966527</v>
      </c>
      <c r="C17">
        <v>904962</v>
      </c>
      <c r="D17" s="8">
        <f t="shared" si="0"/>
        <v>0.30505773249324886</v>
      </c>
      <c r="E17">
        <v>934.32973771460456</v>
      </c>
      <c r="F17">
        <v>2133.5672980336803</v>
      </c>
      <c r="G17">
        <v>0.4379190375554094</v>
      </c>
      <c r="H17" s="11">
        <v>0.24306091057298149</v>
      </c>
      <c r="I17" s="11">
        <v>0.92717878748388216</v>
      </c>
    </row>
    <row r="18" spans="1:9" x14ac:dyDescent="0.2">
      <c r="A18" t="s">
        <v>91</v>
      </c>
      <c r="B18">
        <v>2379966</v>
      </c>
      <c r="C18">
        <v>2539698</v>
      </c>
      <c r="D18" s="8">
        <f t="shared" si="0"/>
        <v>1.0671152445034928</v>
      </c>
      <c r="E18">
        <v>2215.5404365568838</v>
      </c>
      <c r="F18">
        <v>1208.7350167729144</v>
      </c>
      <c r="G18">
        <v>1.8329413856743744</v>
      </c>
      <c r="H18" s="11">
        <v>0.31898040093058228</v>
      </c>
      <c r="I18" s="11">
        <v>0.96661117448432243</v>
      </c>
    </row>
    <row r="19" spans="1:9" x14ac:dyDescent="0.2">
      <c r="A19" t="s">
        <v>92</v>
      </c>
      <c r="B19">
        <v>4728436</v>
      </c>
      <c r="C19">
        <v>4926961</v>
      </c>
      <c r="D19" s="8">
        <f t="shared" si="0"/>
        <v>1.0419853414532838</v>
      </c>
      <c r="E19">
        <v>4208.9854748744347</v>
      </c>
      <c r="F19">
        <v>3614.490844501654</v>
      </c>
      <c r="G19">
        <v>1.1644753454769772</v>
      </c>
      <c r="H19" s="11">
        <v>0.55893113849568132</v>
      </c>
      <c r="I19" s="11">
        <v>0.972341341087547</v>
      </c>
    </row>
    <row r="20" spans="1:9" x14ac:dyDescent="0.2">
      <c r="A20" t="s">
        <v>15</v>
      </c>
      <c r="B20">
        <v>1937904</v>
      </c>
      <c r="C20">
        <v>4584705</v>
      </c>
      <c r="D20" s="8">
        <f t="shared" si="0"/>
        <v>2.3658060461199315</v>
      </c>
      <c r="E20">
        <v>4100.1075650979328</v>
      </c>
      <c r="F20">
        <v>1481.5119346210686</v>
      </c>
      <c r="G20">
        <v>2.7675157177499425</v>
      </c>
      <c r="H20" s="11">
        <v>0.34663297395698489</v>
      </c>
      <c r="I20" s="11">
        <v>0.97598248680934607</v>
      </c>
    </row>
    <row r="21" spans="1:9" x14ac:dyDescent="0.2">
      <c r="A21" t="s">
        <v>93</v>
      </c>
      <c r="B21">
        <v>2596474</v>
      </c>
      <c r="C21">
        <v>1088053</v>
      </c>
      <c r="D21" s="8">
        <f t="shared" si="0"/>
        <v>0.41905021964402495</v>
      </c>
      <c r="E21">
        <v>1062.8054910933158</v>
      </c>
      <c r="F21">
        <v>1651.2797646674294</v>
      </c>
      <c r="G21">
        <v>0.64362533462484883</v>
      </c>
      <c r="H21" s="11">
        <v>0.21676144815808171</v>
      </c>
      <c r="I21" s="11">
        <v>0.9301277005722689</v>
      </c>
    </row>
    <row r="22" spans="1:9" s="5" customFormat="1" x14ac:dyDescent="0.2">
      <c r="A22" s="5" t="s">
        <v>94</v>
      </c>
      <c r="B22" s="5">
        <v>6278595</v>
      </c>
      <c r="C22" s="5">
        <v>5567007</v>
      </c>
      <c r="D22" s="5">
        <f t="shared" si="0"/>
        <v>0.88666445279556971</v>
      </c>
      <c r="E22">
        <v>4245.5274261603372</v>
      </c>
      <c r="F22">
        <v>4707.2324194856874</v>
      </c>
      <c r="G22">
        <v>0.90191582820212723</v>
      </c>
      <c r="H22" s="11">
        <v>0.83965422930847111</v>
      </c>
      <c r="I22" s="11">
        <v>0.96454446973235675</v>
      </c>
    </row>
    <row r="23" spans="1:9" x14ac:dyDescent="0.2">
      <c r="A23" t="s">
        <v>95</v>
      </c>
      <c r="B23">
        <v>8655886</v>
      </c>
      <c r="C23">
        <v>6406525</v>
      </c>
      <c r="D23" s="8">
        <f t="shared" si="0"/>
        <v>0.74013509420063994</v>
      </c>
      <c r="E23">
        <v>4266.6011040048725</v>
      </c>
      <c r="F23">
        <v>4909.1015075376881</v>
      </c>
      <c r="G23">
        <v>0.8691205707304509</v>
      </c>
      <c r="H23" s="11">
        <v>0.7704671622149486</v>
      </c>
      <c r="I23" s="11">
        <v>0.95617439758761436</v>
      </c>
    </row>
    <row r="24" spans="1:9" x14ac:dyDescent="0.2">
      <c r="A24" t="s">
        <v>96</v>
      </c>
      <c r="B24">
        <v>7793253</v>
      </c>
      <c r="C24">
        <v>7017833</v>
      </c>
      <c r="D24" s="8">
        <f t="shared" si="0"/>
        <v>0.90050111294988111</v>
      </c>
      <c r="E24">
        <v>4541.8987068965516</v>
      </c>
      <c r="F24">
        <v>4804.0797413793107</v>
      </c>
      <c r="G24">
        <v>0.94542533667280804</v>
      </c>
      <c r="H24" s="11">
        <v>0.8524005054970788</v>
      </c>
      <c r="I24" s="11">
        <v>0.90160531184502912</v>
      </c>
    </row>
    <row r="25" spans="1:9" x14ac:dyDescent="0.2">
      <c r="A25" t="s">
        <v>97</v>
      </c>
      <c r="B25">
        <v>2501254</v>
      </c>
      <c r="C25">
        <v>1007454</v>
      </c>
      <c r="D25" s="8">
        <f t="shared" si="0"/>
        <v>0.40277956576980989</v>
      </c>
      <c r="E25">
        <v>783.38270436945936</v>
      </c>
      <c r="F25">
        <v>1290.5470584112968</v>
      </c>
      <c r="G25">
        <v>0.60701599315086396</v>
      </c>
      <c r="H25" s="11">
        <v>0.39226994653745101</v>
      </c>
      <c r="I25" s="11">
        <v>0.91205890300196912</v>
      </c>
    </row>
    <row r="26" spans="1:9" x14ac:dyDescent="0.2">
      <c r="A26" t="s">
        <v>98</v>
      </c>
      <c r="B26">
        <v>6141850</v>
      </c>
      <c r="C26">
        <v>5313138</v>
      </c>
      <c r="D26" s="8">
        <f t="shared" si="0"/>
        <v>0.86507127331341538</v>
      </c>
      <c r="E26">
        <v>4261.7690273059006</v>
      </c>
      <c r="F26">
        <v>4813.1968390587645</v>
      </c>
      <c r="G26">
        <v>0.88543418642718608</v>
      </c>
      <c r="H26" s="11">
        <v>0.80322249005006352</v>
      </c>
      <c r="I26" s="11">
        <v>0.95464533392761053</v>
      </c>
    </row>
    <row r="27" spans="1:9" x14ac:dyDescent="0.2">
      <c r="A27" t="s">
        <v>99</v>
      </c>
      <c r="B27">
        <v>7313023</v>
      </c>
      <c r="C27">
        <v>5172820</v>
      </c>
      <c r="D27" s="8">
        <f t="shared" si="0"/>
        <v>0.70734359785276213</v>
      </c>
      <c r="E27">
        <v>3579.6182364372535</v>
      </c>
      <c r="F27">
        <v>3254.620472652864</v>
      </c>
      <c r="G27">
        <v>1.0998573463527321</v>
      </c>
      <c r="H27" s="11">
        <v>0.62707726344975112</v>
      </c>
      <c r="I27" s="11">
        <v>0.96937193743610817</v>
      </c>
    </row>
    <row r="28" spans="1:9" x14ac:dyDescent="0.2">
      <c r="A28" t="s">
        <v>100</v>
      </c>
      <c r="B28">
        <v>4672778</v>
      </c>
      <c r="C28">
        <v>5829566</v>
      </c>
      <c r="D28" s="8">
        <f t="shared" si="0"/>
        <v>1.2475589467336132</v>
      </c>
      <c r="E28">
        <v>3863.2866611183481</v>
      </c>
      <c r="F28">
        <v>2144.576536643026</v>
      </c>
      <c r="G28">
        <v>1.8014216770111986</v>
      </c>
      <c r="H28" s="11">
        <v>0.64043334889938286</v>
      </c>
      <c r="I28" s="11">
        <v>0.96784484373405122</v>
      </c>
    </row>
    <row r="29" spans="1:9" x14ac:dyDescent="0.2">
      <c r="A29" t="s">
        <v>101</v>
      </c>
      <c r="B29">
        <v>7629362</v>
      </c>
      <c r="C29">
        <v>4363793</v>
      </c>
      <c r="D29" s="8">
        <f t="shared" si="0"/>
        <v>0.57197351495446147</v>
      </c>
      <c r="E29">
        <v>3421.4230934491802</v>
      </c>
      <c r="F29">
        <v>4257.7378342769643</v>
      </c>
      <c r="G29">
        <v>0.80357768059484003</v>
      </c>
      <c r="H29" s="11">
        <v>0.66895018049820776</v>
      </c>
      <c r="I29" s="11">
        <v>0.9709828058183787</v>
      </c>
    </row>
    <row r="30" spans="1:9" x14ac:dyDescent="0.2">
      <c r="A30" t="s">
        <v>102</v>
      </c>
      <c r="B30">
        <v>1885832</v>
      </c>
      <c r="C30">
        <v>513913</v>
      </c>
      <c r="D30" s="8">
        <f t="shared" si="0"/>
        <v>0.27251260981890224</v>
      </c>
      <c r="E30">
        <v>494.14216397099835</v>
      </c>
      <c r="F30">
        <v>1269.1999442275514</v>
      </c>
      <c r="G30">
        <v>0.38933358468727203</v>
      </c>
      <c r="H30" s="11">
        <v>0.44314956152579749</v>
      </c>
      <c r="I30" s="11">
        <v>0.89585257013878949</v>
      </c>
    </row>
    <row r="31" spans="1:9" x14ac:dyDescent="0.2">
      <c r="A31" t="s">
        <v>103</v>
      </c>
      <c r="B31">
        <v>1514950</v>
      </c>
      <c r="C31">
        <v>307971</v>
      </c>
      <c r="D31" s="8">
        <f t="shared" si="0"/>
        <v>0.20328789729033961</v>
      </c>
      <c r="E31">
        <v>247.16889633903912</v>
      </c>
      <c r="F31">
        <v>813.28093871893236</v>
      </c>
      <c r="G31">
        <v>0.3039157621576325</v>
      </c>
      <c r="H31" s="11">
        <v>0.36865599726788312</v>
      </c>
      <c r="I31" s="11">
        <v>0.82071702547386716</v>
      </c>
    </row>
    <row r="32" spans="1:9" s="5" customFormat="1" x14ac:dyDescent="0.2">
      <c r="A32" s="5" t="s">
        <v>104</v>
      </c>
      <c r="B32" s="5">
        <v>5265278</v>
      </c>
      <c r="C32" s="5">
        <v>6283933</v>
      </c>
      <c r="D32" s="5">
        <f t="shared" si="0"/>
        <v>1.1934665178172927</v>
      </c>
      <c r="E32">
        <v>4279.8119430602992</v>
      </c>
      <c r="F32">
        <v>2994.5695844374923</v>
      </c>
      <c r="G32">
        <v>1.4291910147294942</v>
      </c>
      <c r="H32" s="11">
        <v>0.71884179539232584</v>
      </c>
      <c r="I32" s="11">
        <v>0.95207679702293646</v>
      </c>
    </row>
    <row r="33" spans="1:9" x14ac:dyDescent="0.2">
      <c r="A33" t="s">
        <v>105</v>
      </c>
      <c r="B33">
        <v>2933896</v>
      </c>
      <c r="C33">
        <v>3096573</v>
      </c>
      <c r="D33" s="8">
        <f t="shared" si="0"/>
        <v>1.0554474323561571</v>
      </c>
      <c r="E33">
        <v>3721.0972886762365</v>
      </c>
      <c r="F33">
        <v>2489.2464114832533</v>
      </c>
      <c r="G33">
        <v>1.4948689979064658</v>
      </c>
      <c r="H33" s="11">
        <v>0.72134588493087493</v>
      </c>
      <c r="I33" s="11">
        <v>0.9672834066540712</v>
      </c>
    </row>
    <row r="34" spans="1:9" x14ac:dyDescent="0.2">
      <c r="A34" t="s">
        <v>70</v>
      </c>
      <c r="B34">
        <v>4908311</v>
      </c>
      <c r="C34">
        <v>4495520</v>
      </c>
      <c r="D34" s="8">
        <f t="shared" si="0"/>
        <v>0.91589958338010768</v>
      </c>
      <c r="E34">
        <v>2870.4212933824861</v>
      </c>
      <c r="F34">
        <v>2321.3213338428336</v>
      </c>
      <c r="G34">
        <v>1.2365462943601369</v>
      </c>
      <c r="H34" s="11">
        <v>0.71793117199515077</v>
      </c>
      <c r="I34" s="11">
        <v>0.97796425708746526</v>
      </c>
    </row>
    <row r="35" spans="1:9" x14ac:dyDescent="0.2">
      <c r="A35" t="s">
        <v>106</v>
      </c>
      <c r="B35">
        <v>4694759</v>
      </c>
      <c r="C35">
        <v>5036430</v>
      </c>
      <c r="D35" s="8">
        <f t="shared" si="0"/>
        <v>1.0727771116685649</v>
      </c>
      <c r="E35">
        <v>4151.9004650494435</v>
      </c>
      <c r="F35">
        <v>3556.0168711055376</v>
      </c>
      <c r="G35">
        <v>1.1675705193599519</v>
      </c>
      <c r="H35" s="11">
        <v>0.59417745566056901</v>
      </c>
      <c r="I35" s="11">
        <v>0.97292633242486892</v>
      </c>
    </row>
    <row r="36" spans="1:9" x14ac:dyDescent="0.2">
      <c r="A36" t="s">
        <v>107</v>
      </c>
      <c r="B36">
        <v>3151955</v>
      </c>
      <c r="C36">
        <v>1208590</v>
      </c>
      <c r="D36" s="8">
        <f t="shared" si="0"/>
        <v>0.38344138796397792</v>
      </c>
      <c r="E36">
        <v>819.33172294079691</v>
      </c>
      <c r="F36">
        <v>1110.4826338750806</v>
      </c>
      <c r="G36">
        <v>0.73781588108379581</v>
      </c>
      <c r="H36" s="11">
        <v>0.34671953487581031</v>
      </c>
      <c r="I36" s="11">
        <v>0.92176399634650386</v>
      </c>
    </row>
    <row r="37" spans="1:9" x14ac:dyDescent="0.2">
      <c r="A37" t="s">
        <v>108</v>
      </c>
      <c r="B37">
        <v>3703860</v>
      </c>
      <c r="C37">
        <v>2167864</v>
      </c>
      <c r="D37" s="8">
        <f t="shared" si="0"/>
        <v>0.58529858039990712</v>
      </c>
      <c r="E37">
        <v>1345.9149858551136</v>
      </c>
      <c r="F37">
        <v>1196.7106735154307</v>
      </c>
      <c r="G37">
        <v>1.1246786843651888</v>
      </c>
      <c r="H37" s="11">
        <v>0.40127224824877861</v>
      </c>
      <c r="I37" s="11">
        <v>0.94615498164278267</v>
      </c>
    </row>
    <row r="38" spans="1:9" x14ac:dyDescent="0.2">
      <c r="A38" t="s">
        <v>109</v>
      </c>
      <c r="B38">
        <v>8460784</v>
      </c>
      <c r="C38">
        <v>5948143</v>
      </c>
      <c r="D38" s="8">
        <f t="shared" si="0"/>
        <v>0.70302503881436995</v>
      </c>
      <c r="E38">
        <v>3996.730619515281</v>
      </c>
      <c r="F38">
        <v>3687.7887162664028</v>
      </c>
      <c r="G38">
        <v>1.0837742959313725</v>
      </c>
      <c r="H38" s="11">
        <v>0.47978407219768671</v>
      </c>
      <c r="I38" s="11">
        <v>0.96339964837322789</v>
      </c>
    </row>
    <row r="39" spans="1:9" x14ac:dyDescent="0.2">
      <c r="A39" t="s">
        <v>110</v>
      </c>
      <c r="B39">
        <v>5601692</v>
      </c>
      <c r="C39">
        <v>4875723</v>
      </c>
      <c r="D39" s="8">
        <f t="shared" si="0"/>
        <v>0.87040183573106122</v>
      </c>
      <c r="E39">
        <v>3980.167298732837</v>
      </c>
      <c r="F39">
        <v>2922.3413772445483</v>
      </c>
      <c r="G39">
        <v>1.3619789014812855</v>
      </c>
      <c r="H39" s="11">
        <v>0.37723515594293189</v>
      </c>
      <c r="I39" s="11">
        <v>0.95671431600017387</v>
      </c>
    </row>
    <row r="40" spans="1:9" x14ac:dyDescent="0.2">
      <c r="A40" t="s">
        <v>111</v>
      </c>
      <c r="B40">
        <v>3431683</v>
      </c>
      <c r="C40">
        <v>1072021</v>
      </c>
      <c r="D40" s="8">
        <f t="shared" si="0"/>
        <v>0.31238928537396954</v>
      </c>
      <c r="E40">
        <v>630.34994021689147</v>
      </c>
      <c r="F40">
        <v>1078.9136782080118</v>
      </c>
      <c r="G40">
        <v>0.58424501695432363</v>
      </c>
      <c r="H40" s="11">
        <v>0.30621868470792141</v>
      </c>
      <c r="I40" s="11">
        <v>0.91639006490616082</v>
      </c>
    </row>
    <row r="41" spans="1:9" x14ac:dyDescent="0.2">
      <c r="A41" t="s">
        <v>112</v>
      </c>
      <c r="B41">
        <v>7915967</v>
      </c>
      <c r="C41">
        <v>3593065</v>
      </c>
      <c r="D41" s="8">
        <f t="shared" si="0"/>
        <v>0.45390095739408715</v>
      </c>
      <c r="E41">
        <v>1820.3369343775557</v>
      </c>
      <c r="F41">
        <v>2310.299116227096</v>
      </c>
      <c r="G41">
        <v>0.78792262075151209</v>
      </c>
      <c r="H41" s="11">
        <v>0.44227340465445503</v>
      </c>
      <c r="I41" s="11">
        <v>0.95308836981917433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D4A81-0CB5-AA48-A104-28711EF11003}">
  <dimension ref="A1:L173"/>
  <sheetViews>
    <sheetView workbookViewId="0">
      <selection activeCell="N14" sqref="N14"/>
    </sheetView>
  </sheetViews>
  <sheetFormatPr baseColWidth="10" defaultRowHeight="16" x14ac:dyDescent="0.2"/>
  <cols>
    <col min="5" max="6" width="10.83203125" style="11"/>
  </cols>
  <sheetData>
    <row r="1" spans="1:12" s="1" customFormat="1" ht="68" x14ac:dyDescent="0.2">
      <c r="B1" s="12" t="s">
        <v>121</v>
      </c>
      <c r="C1" s="12" t="s">
        <v>122</v>
      </c>
      <c r="D1" s="12" t="s">
        <v>123</v>
      </c>
      <c r="E1" s="12" t="s">
        <v>124</v>
      </c>
      <c r="F1" s="12" t="s">
        <v>120</v>
      </c>
      <c r="G1" s="12" t="s">
        <v>119</v>
      </c>
      <c r="H1" s="6" t="s">
        <v>116</v>
      </c>
      <c r="I1" s="6" t="s">
        <v>117</v>
      </c>
      <c r="J1" s="1" t="s">
        <v>118</v>
      </c>
      <c r="K1" s="10" t="s">
        <v>119</v>
      </c>
      <c r="L1" s="10" t="s">
        <v>120</v>
      </c>
    </row>
    <row r="2" spans="1:12" x14ac:dyDescent="0.2">
      <c r="A2" s="9" t="s">
        <v>1</v>
      </c>
      <c r="B2">
        <v>767.87017543859599</v>
      </c>
      <c r="C2">
        <v>2357.894736842105</v>
      </c>
      <c r="D2">
        <v>4095</v>
      </c>
      <c r="E2">
        <v>876.97313432835824</v>
      </c>
      <c r="F2">
        <v>0.84209527547805862</v>
      </c>
      <c r="G2">
        <v>0.27110014048612302</v>
      </c>
      <c r="H2">
        <f t="shared" ref="H2:I17" si="0">B2+D2</f>
        <v>4862.8701754385957</v>
      </c>
      <c r="I2">
        <f t="shared" si="0"/>
        <v>3234.8678711704633</v>
      </c>
      <c r="J2">
        <f t="shared" ref="J2:J41" si="1">H2/I2</f>
        <v>1.503267017109752</v>
      </c>
      <c r="K2" s="11">
        <v>0.27110014048612302</v>
      </c>
      <c r="L2" s="11">
        <v>0.84209527547805862</v>
      </c>
    </row>
    <row r="3" spans="1:12" x14ac:dyDescent="0.2">
      <c r="A3" s="9" t="s">
        <v>2</v>
      </c>
      <c r="B3">
        <v>69.004089979550102</v>
      </c>
      <c r="C3">
        <v>1279.768916155419</v>
      </c>
      <c r="D3">
        <v>1973.0165853658541</v>
      </c>
      <c r="E3">
        <v>382.22146341463417</v>
      </c>
      <c r="F3">
        <v>0.96620793765083779</v>
      </c>
      <c r="G3">
        <v>0.22997814434612579</v>
      </c>
      <c r="H3">
        <f t="shared" si="0"/>
        <v>2042.0206753454042</v>
      </c>
      <c r="I3">
        <f t="shared" si="0"/>
        <v>1661.9903795700532</v>
      </c>
      <c r="J3">
        <f t="shared" si="1"/>
        <v>1.2286597446332166</v>
      </c>
      <c r="K3" s="11">
        <v>0.22997814434612579</v>
      </c>
      <c r="L3" s="11">
        <v>0.96620793765083779</v>
      </c>
    </row>
    <row r="4" spans="1:12" x14ac:dyDescent="0.2">
      <c r="A4" s="9" t="s">
        <v>3</v>
      </c>
      <c r="B4">
        <v>85.973214285714292</v>
      </c>
      <c r="C4">
        <v>1319.0178571428571</v>
      </c>
      <c r="D4">
        <v>2171.3868613138679</v>
      </c>
      <c r="E4">
        <v>393.01021897810222</v>
      </c>
      <c r="F4">
        <v>0.96191426648543044</v>
      </c>
      <c r="G4">
        <v>0.2295582791308938</v>
      </c>
      <c r="H4">
        <f t="shared" si="0"/>
        <v>2257.3600755995822</v>
      </c>
      <c r="I4">
        <f t="shared" si="0"/>
        <v>1712.0280761209592</v>
      </c>
      <c r="J4">
        <f t="shared" si="1"/>
        <v>1.318529822661678</v>
      </c>
      <c r="K4" s="11">
        <v>0.2295582791308938</v>
      </c>
      <c r="L4" s="11">
        <v>0.96191426648543044</v>
      </c>
    </row>
    <row r="5" spans="1:12" x14ac:dyDescent="0.2">
      <c r="A5" s="9" t="s">
        <v>4</v>
      </c>
      <c r="B5">
        <v>73.630026809651469</v>
      </c>
      <c r="C5">
        <v>925.73458445040217</v>
      </c>
      <c r="D5">
        <v>1939.3320848938829</v>
      </c>
      <c r="E5">
        <v>256.12359550561803</v>
      </c>
      <c r="F5">
        <v>0.96342205032992911</v>
      </c>
      <c r="G5">
        <v>0.21671263088025411</v>
      </c>
      <c r="H5">
        <f t="shared" si="0"/>
        <v>2012.9621117035344</v>
      </c>
      <c r="I5">
        <f t="shared" si="0"/>
        <v>1181.8581799560202</v>
      </c>
      <c r="J5">
        <f t="shared" si="1"/>
        <v>1.7032179882855671</v>
      </c>
      <c r="K5" s="11">
        <v>0.21671263088025411</v>
      </c>
      <c r="L5" s="11">
        <v>0.96342205032992911</v>
      </c>
    </row>
    <row r="6" spans="1:12" x14ac:dyDescent="0.2">
      <c r="A6" s="9" t="s">
        <v>5</v>
      </c>
      <c r="B6">
        <v>53.083333333333343</v>
      </c>
      <c r="C6">
        <v>712.1559139784946</v>
      </c>
      <c r="D6">
        <v>540.5625</v>
      </c>
      <c r="E6">
        <v>224.1016791044776</v>
      </c>
      <c r="F6">
        <v>0.91058080364976302</v>
      </c>
      <c r="G6">
        <v>0.23935899773751421</v>
      </c>
      <c r="H6">
        <f t="shared" si="0"/>
        <v>593.64583333333337</v>
      </c>
      <c r="I6">
        <f t="shared" si="0"/>
        <v>936.25759308297222</v>
      </c>
      <c r="J6">
        <f t="shared" si="1"/>
        <v>0.6340625034383286</v>
      </c>
      <c r="K6" s="11">
        <v>0.23935899773751421</v>
      </c>
      <c r="L6" s="11">
        <v>0.91058080364976302</v>
      </c>
    </row>
    <row r="7" spans="1:12" x14ac:dyDescent="0.2">
      <c r="A7" s="9" t="s">
        <v>6</v>
      </c>
      <c r="B7">
        <v>50.69367088607595</v>
      </c>
      <c r="C7">
        <v>739.56455696202534</v>
      </c>
      <c r="D7">
        <v>483.57248520710061</v>
      </c>
      <c r="E7">
        <v>167.17899408284021</v>
      </c>
      <c r="F7">
        <v>0.90511532443534592</v>
      </c>
      <c r="G7">
        <v>0.18437296178196719</v>
      </c>
      <c r="H7">
        <f t="shared" si="0"/>
        <v>534.26615609317651</v>
      </c>
      <c r="I7">
        <f t="shared" si="0"/>
        <v>906.74355104486551</v>
      </c>
      <c r="J7">
        <f t="shared" si="1"/>
        <v>0.58921417800824383</v>
      </c>
      <c r="K7" s="11">
        <v>0.18437296178196719</v>
      </c>
      <c r="L7" s="11">
        <v>0.90511532443534592</v>
      </c>
    </row>
    <row r="8" spans="1:12" x14ac:dyDescent="0.2">
      <c r="A8" s="9" t="s">
        <v>7</v>
      </c>
      <c r="B8">
        <v>73.407975460122699</v>
      </c>
      <c r="C8">
        <v>1113.705521472393</v>
      </c>
      <c r="D8">
        <v>2401.2171717171718</v>
      </c>
      <c r="E8">
        <v>230.78787878787881</v>
      </c>
      <c r="F8">
        <v>0.97033571911129401</v>
      </c>
      <c r="G8">
        <v>0.17165415519570579</v>
      </c>
      <c r="H8">
        <f t="shared" si="0"/>
        <v>2474.6251471772944</v>
      </c>
      <c r="I8">
        <f t="shared" si="0"/>
        <v>1344.4934002602718</v>
      </c>
      <c r="J8">
        <f t="shared" si="1"/>
        <v>1.8405632535631991</v>
      </c>
      <c r="K8" s="11">
        <v>0.17165415519570579</v>
      </c>
      <c r="L8" s="11">
        <v>0.97033571911129401</v>
      </c>
    </row>
    <row r="9" spans="1:12" x14ac:dyDescent="0.2">
      <c r="A9" s="9" t="s">
        <v>8</v>
      </c>
      <c r="B9">
        <v>46.601694915254242</v>
      </c>
      <c r="C9">
        <v>564.81073446327684</v>
      </c>
      <c r="D9">
        <v>333.87096774193549</v>
      </c>
      <c r="E9">
        <v>195.73806451612899</v>
      </c>
      <c r="F9">
        <v>0.87751631197418534</v>
      </c>
      <c r="G9">
        <v>0.25736424116216272</v>
      </c>
      <c r="H9">
        <f t="shared" si="0"/>
        <v>380.47266265718974</v>
      </c>
      <c r="I9">
        <f t="shared" si="0"/>
        <v>760.54879897940577</v>
      </c>
      <c r="J9">
        <f t="shared" si="1"/>
        <v>0.50026068434760917</v>
      </c>
      <c r="K9" s="11">
        <v>0.25736424116216272</v>
      </c>
      <c r="L9" s="11">
        <v>0.87751631197418534</v>
      </c>
    </row>
    <row r="10" spans="1:12" ht="17" customHeight="1" x14ac:dyDescent="0.2">
      <c r="A10" s="9" t="s">
        <v>9</v>
      </c>
      <c r="B10">
        <v>56.290502793296092</v>
      </c>
      <c r="C10">
        <v>587.31564245810057</v>
      </c>
      <c r="D10">
        <v>1501.3150684931511</v>
      </c>
      <c r="E10">
        <v>233.26525529265251</v>
      </c>
      <c r="F10">
        <v>0.96386087477408988</v>
      </c>
      <c r="G10">
        <v>0.28426844438134308</v>
      </c>
      <c r="H10">
        <f t="shared" si="0"/>
        <v>1557.6055712864472</v>
      </c>
      <c r="I10">
        <f t="shared" si="0"/>
        <v>820.58089775075314</v>
      </c>
      <c r="J10">
        <f t="shared" si="1"/>
        <v>1.8981743001280067</v>
      </c>
      <c r="K10" s="11">
        <v>0.28426844438134308</v>
      </c>
      <c r="L10" s="11">
        <v>0.96386087477408988</v>
      </c>
    </row>
    <row r="11" spans="1:12" x14ac:dyDescent="0.2">
      <c r="A11" s="9" t="s">
        <v>10</v>
      </c>
      <c r="B11">
        <v>51.663978494623663</v>
      </c>
      <c r="C11">
        <v>617.48118279569894</v>
      </c>
      <c r="D11">
        <v>568.71043771043776</v>
      </c>
      <c r="E11">
        <v>216.30639730639729</v>
      </c>
      <c r="F11">
        <v>0.91672129419736359</v>
      </c>
      <c r="G11">
        <v>0.25942626451681</v>
      </c>
      <c r="H11">
        <f t="shared" si="0"/>
        <v>620.37441620506138</v>
      </c>
      <c r="I11">
        <f t="shared" si="0"/>
        <v>833.78758010209617</v>
      </c>
      <c r="J11">
        <f t="shared" si="1"/>
        <v>0.74404372409708641</v>
      </c>
      <c r="K11" s="11">
        <v>0.25942626451681</v>
      </c>
      <c r="L11" s="11">
        <v>0.91672129419736359</v>
      </c>
    </row>
    <row r="12" spans="1:12" x14ac:dyDescent="0.2">
      <c r="A12" s="9" t="s">
        <v>11</v>
      </c>
      <c r="B12">
        <v>117.09069767441861</v>
      </c>
      <c r="C12">
        <v>1317.0813953488371</v>
      </c>
      <c r="D12">
        <v>4094.6077694235591</v>
      </c>
      <c r="E12">
        <v>1144.4398496240599</v>
      </c>
      <c r="F12">
        <v>0.97219869879357756</v>
      </c>
      <c r="G12">
        <v>0.46493194075059102</v>
      </c>
      <c r="H12">
        <f t="shared" si="0"/>
        <v>4211.6984670979782</v>
      </c>
      <c r="I12">
        <f t="shared" si="0"/>
        <v>2461.521244972897</v>
      </c>
      <c r="J12">
        <f t="shared" si="1"/>
        <v>1.711014469486877</v>
      </c>
      <c r="K12" s="11">
        <v>0.46493194075059102</v>
      </c>
      <c r="L12" s="11">
        <v>0.97219869879357756</v>
      </c>
    </row>
    <row r="13" spans="1:12" x14ac:dyDescent="0.2">
      <c r="A13" s="9" t="s">
        <v>12</v>
      </c>
      <c r="B13">
        <v>105.5968169761273</v>
      </c>
      <c r="C13">
        <v>1399.755968169761</v>
      </c>
      <c r="D13">
        <v>4094.612790697674</v>
      </c>
      <c r="E13">
        <v>1216.9813953488369</v>
      </c>
      <c r="F13">
        <v>0.97485915541376755</v>
      </c>
      <c r="G13">
        <v>0.46507586596784861</v>
      </c>
      <c r="H13">
        <f t="shared" si="0"/>
        <v>4200.2096076738017</v>
      </c>
      <c r="I13">
        <f t="shared" si="0"/>
        <v>2616.7373635185977</v>
      </c>
      <c r="J13">
        <f t="shared" si="1"/>
        <v>1.6051322789330247</v>
      </c>
      <c r="K13" s="11">
        <v>0.46507586596784861</v>
      </c>
      <c r="L13" s="11">
        <v>0.97485915541376755</v>
      </c>
    </row>
    <row r="14" spans="1:12" x14ac:dyDescent="0.2">
      <c r="A14" s="9" t="s">
        <v>13</v>
      </c>
      <c r="B14">
        <v>47.014388489208628</v>
      </c>
      <c r="C14">
        <v>923.71462829736208</v>
      </c>
      <c r="D14">
        <v>495.31240875912408</v>
      </c>
      <c r="E14">
        <v>305.67883211678833</v>
      </c>
      <c r="F14">
        <v>0.91330985537179599</v>
      </c>
      <c r="G14">
        <v>0.24864198644249591</v>
      </c>
      <c r="H14">
        <f t="shared" si="0"/>
        <v>542.3267972483327</v>
      </c>
      <c r="I14">
        <f t="shared" si="0"/>
        <v>1229.3934604141505</v>
      </c>
      <c r="J14">
        <f t="shared" si="1"/>
        <v>0.44113362785062887</v>
      </c>
      <c r="K14" s="11">
        <v>0.24864198644249591</v>
      </c>
      <c r="L14" s="11">
        <v>0.91330985537179599</v>
      </c>
    </row>
    <row r="15" spans="1:12" ht="16" customHeight="1" x14ac:dyDescent="0.2">
      <c r="A15" s="9" t="s">
        <v>14</v>
      </c>
      <c r="B15">
        <v>41.823008849557517</v>
      </c>
      <c r="C15">
        <v>575.18879056047194</v>
      </c>
      <c r="D15">
        <v>87.251445086705203</v>
      </c>
      <c r="E15">
        <v>229.11271676300581</v>
      </c>
      <c r="F15">
        <v>0.67597764256116999</v>
      </c>
      <c r="G15">
        <v>0.28485924081559649</v>
      </c>
      <c r="H15">
        <f t="shared" si="0"/>
        <v>129.07445393626273</v>
      </c>
      <c r="I15">
        <f t="shared" si="0"/>
        <v>804.30150732347772</v>
      </c>
      <c r="J15">
        <f t="shared" si="1"/>
        <v>0.16048018406156109</v>
      </c>
      <c r="K15" s="11">
        <v>0.28485924081559649</v>
      </c>
      <c r="L15" s="11">
        <v>0.67597764256116999</v>
      </c>
    </row>
    <row r="16" spans="1:12" x14ac:dyDescent="0.2">
      <c r="A16" s="9" t="s">
        <v>15</v>
      </c>
      <c r="B16">
        <v>70.257270693512311</v>
      </c>
      <c r="C16">
        <v>1391.398210290828</v>
      </c>
      <c r="D16">
        <v>2354.265476190476</v>
      </c>
      <c r="E16">
        <v>648.31785714285718</v>
      </c>
      <c r="F16">
        <v>0.9710222266283921</v>
      </c>
      <c r="G16">
        <v>0.31784710994533322</v>
      </c>
      <c r="H16">
        <f t="shared" si="0"/>
        <v>2424.5227468839885</v>
      </c>
      <c r="I16">
        <f t="shared" si="0"/>
        <v>2039.7160674336851</v>
      </c>
      <c r="J16">
        <f t="shared" si="1"/>
        <v>1.1886569829959013</v>
      </c>
      <c r="K16" s="11">
        <v>0.31784710994533322</v>
      </c>
      <c r="L16" s="11">
        <v>0.9710222266283921</v>
      </c>
    </row>
    <row r="17" spans="1:12" x14ac:dyDescent="0.2">
      <c r="A17" s="9" t="s">
        <v>16</v>
      </c>
      <c r="B17">
        <v>46.258426966292127</v>
      </c>
      <c r="C17">
        <v>904.55955056179778</v>
      </c>
      <c r="D17">
        <v>580.67418546365911</v>
      </c>
      <c r="E17">
        <v>334.10776942355892</v>
      </c>
      <c r="F17">
        <v>0.92621467435391913</v>
      </c>
      <c r="G17">
        <v>0.26973164144470102</v>
      </c>
      <c r="H17">
        <f t="shared" si="0"/>
        <v>626.93261242995129</v>
      </c>
      <c r="I17">
        <f t="shared" si="0"/>
        <v>1238.6673199853567</v>
      </c>
      <c r="J17">
        <f t="shared" si="1"/>
        <v>0.50613478075562923</v>
      </c>
      <c r="K17" s="11">
        <v>0.26973164144470102</v>
      </c>
      <c r="L17" s="11">
        <v>0.92621467435391913</v>
      </c>
    </row>
    <row r="18" spans="1:12" x14ac:dyDescent="0.2">
      <c r="A18" s="9" t="s">
        <v>17</v>
      </c>
      <c r="B18">
        <v>96.778008298755182</v>
      </c>
      <c r="C18">
        <v>2260.91286307054</v>
      </c>
      <c r="D18">
        <v>3919.4178652535961</v>
      </c>
      <c r="E18">
        <v>1096.011355034065</v>
      </c>
      <c r="F18">
        <v>0.97590306565074114</v>
      </c>
      <c r="G18">
        <v>0.32649273079298102</v>
      </c>
      <c r="H18">
        <f t="shared" ref="H18:I33" si="2">B18+D18</f>
        <v>4016.1958735523513</v>
      </c>
      <c r="I18">
        <f t="shared" si="2"/>
        <v>3356.9242181046047</v>
      </c>
      <c r="J18">
        <f t="shared" si="1"/>
        <v>1.1963915812850807</v>
      </c>
      <c r="K18" s="11">
        <v>0.32649273079298102</v>
      </c>
      <c r="L18" s="11">
        <v>0.97590306565074114</v>
      </c>
    </row>
    <row r="19" spans="1:12" x14ac:dyDescent="0.2">
      <c r="A19" s="9" t="s">
        <v>18</v>
      </c>
      <c r="B19">
        <v>101.6064073226545</v>
      </c>
      <c r="C19">
        <v>2103.068649885583</v>
      </c>
      <c r="D19">
        <v>3582.8619186046508</v>
      </c>
      <c r="E19">
        <v>949.48982558139539</v>
      </c>
      <c r="F19">
        <v>0.97242304768705479</v>
      </c>
      <c r="G19">
        <v>0.31104721931203722</v>
      </c>
      <c r="H19">
        <f t="shared" si="2"/>
        <v>3684.4683259273052</v>
      </c>
      <c r="I19">
        <f t="shared" si="2"/>
        <v>3052.5584754669785</v>
      </c>
      <c r="J19">
        <f t="shared" si="1"/>
        <v>1.2070099084223629</v>
      </c>
      <c r="K19" s="11">
        <v>0.31104721931203722</v>
      </c>
      <c r="L19" s="11">
        <v>0.97242304768705479</v>
      </c>
    </row>
    <row r="20" spans="1:12" x14ac:dyDescent="0.2">
      <c r="A20" s="9" t="s">
        <v>19</v>
      </c>
      <c r="B20">
        <v>53.975877192982459</v>
      </c>
      <c r="C20">
        <v>656.80482456140351</v>
      </c>
      <c r="D20">
        <v>512.66631689401891</v>
      </c>
      <c r="E20">
        <v>225.85204616998951</v>
      </c>
      <c r="F20">
        <v>0.90474433821513989</v>
      </c>
      <c r="G20">
        <v>0.25587751442170548</v>
      </c>
      <c r="H20">
        <f t="shared" si="2"/>
        <v>566.64219408700137</v>
      </c>
      <c r="I20">
        <f t="shared" si="2"/>
        <v>882.65687073139304</v>
      </c>
      <c r="J20">
        <f t="shared" si="1"/>
        <v>0.64197335666516309</v>
      </c>
      <c r="K20" s="11">
        <v>0.25587751442170548</v>
      </c>
      <c r="L20" s="11">
        <v>0.90474433821513989</v>
      </c>
    </row>
    <row r="21" spans="1:12" x14ac:dyDescent="0.2">
      <c r="A21" s="9" t="s">
        <v>20</v>
      </c>
      <c r="B21">
        <v>121.0930232558139</v>
      </c>
      <c r="C21">
        <v>1093.8372093023261</v>
      </c>
      <c r="D21">
        <v>4095</v>
      </c>
      <c r="E21">
        <v>1449.158485273492</v>
      </c>
      <c r="F21">
        <v>0.97127837963065111</v>
      </c>
      <c r="G21">
        <v>0.56986273644290142</v>
      </c>
      <c r="H21">
        <f t="shared" si="2"/>
        <v>4216.0930232558139</v>
      </c>
      <c r="I21">
        <f t="shared" si="2"/>
        <v>2542.9956945758181</v>
      </c>
      <c r="J21">
        <f t="shared" si="1"/>
        <v>1.6579237755882537</v>
      </c>
      <c r="K21" s="11">
        <v>0.56986273644290142</v>
      </c>
      <c r="L21" s="11">
        <v>0.97127837963065111</v>
      </c>
    </row>
    <row r="22" spans="1:12" x14ac:dyDescent="0.2">
      <c r="A22" s="9" t="s">
        <v>21</v>
      </c>
      <c r="B22">
        <v>99.60566037735849</v>
      </c>
      <c r="C22">
        <v>1047.450943396226</v>
      </c>
      <c r="D22">
        <v>4031.015916955017</v>
      </c>
      <c r="E22">
        <v>3163.8346020761251</v>
      </c>
      <c r="F22">
        <v>0.97588603591189171</v>
      </c>
      <c r="G22">
        <v>0.75127525025645314</v>
      </c>
      <c r="H22">
        <f t="shared" si="2"/>
        <v>4130.6215773323756</v>
      </c>
      <c r="I22">
        <f t="shared" si="2"/>
        <v>4211.2855454723513</v>
      </c>
      <c r="J22">
        <f t="shared" si="1"/>
        <v>0.98084576140254864</v>
      </c>
      <c r="K22" s="11">
        <v>0.75127525025645314</v>
      </c>
      <c r="L22" s="11">
        <v>0.97588603591189171</v>
      </c>
    </row>
    <row r="23" spans="1:12" x14ac:dyDescent="0.2">
      <c r="A23" s="9" t="s">
        <v>125</v>
      </c>
      <c r="B23">
        <v>46.447499999999998</v>
      </c>
      <c r="C23">
        <v>484.98</v>
      </c>
      <c r="D23">
        <v>181.03600654664481</v>
      </c>
      <c r="E23">
        <v>185.04255319148939</v>
      </c>
      <c r="F23">
        <v>0.79582036207765217</v>
      </c>
      <c r="G23">
        <v>0.27617361879847813</v>
      </c>
      <c r="H23">
        <f t="shared" si="2"/>
        <v>227.4835065466448</v>
      </c>
      <c r="I23">
        <f t="shared" si="2"/>
        <v>670.02255319148935</v>
      </c>
      <c r="J23">
        <f t="shared" si="1"/>
        <v>0.33951619309392272</v>
      </c>
      <c r="K23" s="11">
        <v>0.27617361879847813</v>
      </c>
      <c r="L23" s="11">
        <v>0.79582036207765217</v>
      </c>
    </row>
    <row r="24" spans="1:12" x14ac:dyDescent="0.2">
      <c r="A24" s="9" t="s">
        <v>22</v>
      </c>
      <c r="B24">
        <v>141.04861111111109</v>
      </c>
      <c r="C24">
        <v>772.44791666666663</v>
      </c>
      <c r="D24">
        <v>4095</v>
      </c>
      <c r="E24">
        <v>3627.0668934240362</v>
      </c>
      <c r="F24">
        <v>0.96670278741817495</v>
      </c>
      <c r="G24">
        <v>0.82442429449379639</v>
      </c>
      <c r="H24">
        <f t="shared" si="2"/>
        <v>4236.0486111111113</v>
      </c>
      <c r="I24">
        <f t="shared" si="2"/>
        <v>4399.5148100907027</v>
      </c>
      <c r="J24">
        <f t="shared" si="1"/>
        <v>0.96284449398723104</v>
      </c>
      <c r="K24" s="11">
        <v>0.82442429449379639</v>
      </c>
      <c r="L24" s="11">
        <v>0.96670278741817495</v>
      </c>
    </row>
    <row r="25" spans="1:12" x14ac:dyDescent="0.2">
      <c r="A25" s="9" t="s">
        <v>126</v>
      </c>
      <c r="B25">
        <v>43.467492260061917</v>
      </c>
      <c r="C25">
        <v>343.74922600619198</v>
      </c>
      <c r="D25">
        <v>97.480662983425418</v>
      </c>
      <c r="E25">
        <v>113.40110497237571</v>
      </c>
      <c r="F25">
        <v>0.69160651882976387</v>
      </c>
      <c r="G25">
        <v>0.24806086157617199</v>
      </c>
      <c r="H25">
        <v>140.94815524348735</v>
      </c>
      <c r="I25">
        <v>457.15033097856769</v>
      </c>
      <c r="J25">
        <v>0.30831904888218342</v>
      </c>
      <c r="K25" s="11">
        <v>0.24806086157617199</v>
      </c>
      <c r="L25" s="11">
        <v>0.69160651882976387</v>
      </c>
    </row>
    <row r="26" spans="1:12" x14ac:dyDescent="0.2">
      <c r="A26" s="9" t="s">
        <v>23</v>
      </c>
      <c r="B26">
        <v>76.167346938775509</v>
      </c>
      <c r="C26">
        <v>762.2489795918367</v>
      </c>
      <c r="D26">
        <v>1531.6083916083919</v>
      </c>
      <c r="E26">
        <v>575.78121878121874</v>
      </c>
      <c r="F26">
        <v>0.95262563981242643</v>
      </c>
      <c r="G26">
        <v>0.43032004769498139</v>
      </c>
      <c r="H26">
        <f t="shared" si="2"/>
        <v>1607.7757385471675</v>
      </c>
      <c r="I26">
        <f t="shared" si="2"/>
        <v>1338.0301983730556</v>
      </c>
      <c r="J26">
        <f t="shared" si="1"/>
        <v>1.201598992684995</v>
      </c>
      <c r="K26" s="11">
        <v>0.43032004769498139</v>
      </c>
      <c r="L26" s="11">
        <v>0.95262563981242643</v>
      </c>
    </row>
    <row r="27" spans="1:12" x14ac:dyDescent="0.2">
      <c r="A27" s="9" t="s">
        <v>24</v>
      </c>
      <c r="B27">
        <v>92.604444444444439</v>
      </c>
      <c r="C27">
        <v>1150.191111111111</v>
      </c>
      <c r="D27">
        <v>3280.6317829457371</v>
      </c>
      <c r="E27">
        <v>2204.8087855297158</v>
      </c>
      <c r="F27">
        <v>0.97254729932860606</v>
      </c>
      <c r="G27">
        <v>0.65717104424869499</v>
      </c>
      <c r="H27">
        <f t="shared" si="2"/>
        <v>3373.2362273901817</v>
      </c>
      <c r="I27">
        <f t="shared" si="2"/>
        <v>3354.9998966408266</v>
      </c>
      <c r="J27">
        <f t="shared" si="1"/>
        <v>1.0054355682000509</v>
      </c>
      <c r="K27" s="11">
        <v>0.65717104424869499</v>
      </c>
      <c r="L27" s="11">
        <v>0.97254729932860606</v>
      </c>
    </row>
    <row r="28" spans="1:12" x14ac:dyDescent="0.2">
      <c r="A28" s="9" t="s">
        <v>127</v>
      </c>
      <c r="B28">
        <v>42.482573726541553</v>
      </c>
      <c r="C28">
        <v>348.62198391420912</v>
      </c>
      <c r="D28">
        <v>94.19274809160305</v>
      </c>
      <c r="E28">
        <v>106.6879770992366</v>
      </c>
      <c r="F28">
        <v>0.68917158444252746</v>
      </c>
      <c r="G28">
        <v>0.23431944441049921</v>
      </c>
      <c r="H28">
        <f t="shared" si="2"/>
        <v>136.6753218181446</v>
      </c>
      <c r="I28">
        <f t="shared" si="2"/>
        <v>455.30996101344573</v>
      </c>
      <c r="J28">
        <f t="shared" si="1"/>
        <v>0.30018082959118142</v>
      </c>
      <c r="K28" s="11">
        <v>0.23431944441049921</v>
      </c>
      <c r="L28" s="11">
        <v>0.68917158444252746</v>
      </c>
    </row>
    <row r="29" spans="1:12" x14ac:dyDescent="0.2">
      <c r="A29" s="9" t="s">
        <v>25</v>
      </c>
      <c r="B29">
        <v>136.52380952380949</v>
      </c>
      <c r="C29">
        <v>790.37777777777774</v>
      </c>
      <c r="D29">
        <v>4093.0244498777511</v>
      </c>
      <c r="E29">
        <v>3124.8948655256718</v>
      </c>
      <c r="F29">
        <v>0.96772142055115684</v>
      </c>
      <c r="G29">
        <v>0.79812956854240713</v>
      </c>
      <c r="H29">
        <f t="shared" si="2"/>
        <v>4229.5482594015602</v>
      </c>
      <c r="I29">
        <f t="shared" si="2"/>
        <v>3915.2726433034495</v>
      </c>
      <c r="J29">
        <f t="shared" si="1"/>
        <v>1.0802691522991732</v>
      </c>
      <c r="K29" s="11">
        <v>0.79812956854240713</v>
      </c>
      <c r="L29" s="11">
        <v>0.96772142055115684</v>
      </c>
    </row>
    <row r="30" spans="1:12" x14ac:dyDescent="0.2">
      <c r="A30" s="9" t="s">
        <v>26</v>
      </c>
      <c r="B30">
        <v>43.231999999999999</v>
      </c>
      <c r="C30">
        <v>469.036</v>
      </c>
      <c r="D30">
        <v>44.618693134822173</v>
      </c>
      <c r="E30">
        <v>137.50289495450789</v>
      </c>
      <c r="F30">
        <v>0.50789232893526548</v>
      </c>
      <c r="G30">
        <v>0.22670086963643271</v>
      </c>
      <c r="H30">
        <f t="shared" si="2"/>
        <v>87.850693134822166</v>
      </c>
      <c r="I30">
        <f t="shared" si="2"/>
        <v>606.5388949545079</v>
      </c>
      <c r="J30">
        <f t="shared" si="1"/>
        <v>0.1448393398438384</v>
      </c>
      <c r="K30" s="11">
        <v>0.22670086963643271</v>
      </c>
      <c r="L30" s="11">
        <v>0.50789232893526548</v>
      </c>
    </row>
    <row r="31" spans="1:12" x14ac:dyDescent="0.2">
      <c r="A31" s="9" t="s">
        <v>27</v>
      </c>
      <c r="B31">
        <v>80.877906976744185</v>
      </c>
      <c r="C31">
        <v>1213.4186046511629</v>
      </c>
      <c r="D31">
        <v>3336.7918367346938</v>
      </c>
      <c r="E31">
        <v>2024.848979591837</v>
      </c>
      <c r="F31">
        <v>0.97633536501718432</v>
      </c>
      <c r="G31">
        <v>0.62528772774816255</v>
      </c>
      <c r="H31">
        <f t="shared" si="2"/>
        <v>3417.6697437114381</v>
      </c>
      <c r="I31">
        <f t="shared" si="2"/>
        <v>3238.2675842429999</v>
      </c>
      <c r="J31">
        <f t="shared" si="1"/>
        <v>1.0554006593962113</v>
      </c>
      <c r="K31" s="11">
        <v>0.62528772774816255</v>
      </c>
      <c r="L31" s="11">
        <v>0.97633536501718432</v>
      </c>
    </row>
    <row r="32" spans="1:12" x14ac:dyDescent="0.2">
      <c r="A32" s="9" t="s">
        <v>28</v>
      </c>
      <c r="B32">
        <v>46.147959183673471</v>
      </c>
      <c r="C32">
        <v>512.47704081632651</v>
      </c>
      <c r="D32">
        <v>607.23280423280426</v>
      </c>
      <c r="E32">
        <v>385.31216931216932</v>
      </c>
      <c r="F32">
        <v>0.92937049609117761</v>
      </c>
      <c r="G32">
        <v>0.42917888181906488</v>
      </c>
      <c r="H32">
        <f t="shared" si="2"/>
        <v>653.38076341647775</v>
      </c>
      <c r="I32">
        <f t="shared" si="2"/>
        <v>897.78921012849582</v>
      </c>
      <c r="J32">
        <f t="shared" si="1"/>
        <v>0.72776633539955649</v>
      </c>
      <c r="K32" s="11">
        <v>0.42917888181906488</v>
      </c>
      <c r="L32" s="11">
        <v>0.92937049609117761</v>
      </c>
    </row>
    <row r="33" spans="1:12" x14ac:dyDescent="0.2">
      <c r="A33" s="9" t="s">
        <v>29</v>
      </c>
      <c r="B33">
        <v>51.648793565683647</v>
      </c>
      <c r="C33">
        <v>549.12064343163536</v>
      </c>
      <c r="D33">
        <v>533.79449152542372</v>
      </c>
      <c r="E33">
        <v>394.5593220338983</v>
      </c>
      <c r="F33">
        <v>0.9117783141749658</v>
      </c>
      <c r="G33">
        <v>0.41810713003667022</v>
      </c>
      <c r="H33">
        <f t="shared" si="2"/>
        <v>585.44328509110733</v>
      </c>
      <c r="I33">
        <f t="shared" si="2"/>
        <v>943.67996546553366</v>
      </c>
      <c r="J33">
        <f t="shared" si="1"/>
        <v>0.62038329361193767</v>
      </c>
      <c r="K33" s="11">
        <v>0.41810713003667022</v>
      </c>
      <c r="L33" s="11">
        <v>0.9117783141749658</v>
      </c>
    </row>
    <row r="34" spans="1:12" x14ac:dyDescent="0.2">
      <c r="A34" s="9" t="s">
        <v>30</v>
      </c>
      <c r="B34">
        <v>45.566239316239319</v>
      </c>
      <c r="C34">
        <v>530.11752136752136</v>
      </c>
      <c r="D34">
        <v>509.72641509433959</v>
      </c>
      <c r="E34">
        <v>401.95754716981128</v>
      </c>
      <c r="F34">
        <v>0.91794193754533626</v>
      </c>
      <c r="G34">
        <v>0.43125018653335168</v>
      </c>
      <c r="H34">
        <f t="shared" ref="H34:I41" si="3">B34+D34</f>
        <v>555.29265441057896</v>
      </c>
      <c r="I34">
        <f t="shared" si="3"/>
        <v>932.07506853733264</v>
      </c>
      <c r="J34">
        <f t="shared" si="1"/>
        <v>0.59575958327259737</v>
      </c>
      <c r="K34" s="11">
        <v>0.43125018653335168</v>
      </c>
      <c r="L34" s="11">
        <v>0.91794193754533626</v>
      </c>
    </row>
    <row r="35" spans="1:12" x14ac:dyDescent="0.2">
      <c r="A35" s="9" t="s">
        <v>31</v>
      </c>
      <c r="B35">
        <v>65.632385120350108</v>
      </c>
      <c r="C35">
        <v>675.1028446389497</v>
      </c>
      <c r="D35">
        <v>2894.968680089486</v>
      </c>
      <c r="E35">
        <v>1368.041387024608</v>
      </c>
      <c r="F35">
        <v>0.97783139853200773</v>
      </c>
      <c r="G35">
        <v>0.66957651144908603</v>
      </c>
      <c r="H35">
        <f t="shared" si="3"/>
        <v>2960.6010652098362</v>
      </c>
      <c r="I35">
        <f t="shared" si="3"/>
        <v>2043.1442316635575</v>
      </c>
      <c r="J35">
        <f t="shared" si="1"/>
        <v>1.4490416385334051</v>
      </c>
      <c r="K35" s="11">
        <v>0.66957651144908603</v>
      </c>
      <c r="L35" s="11">
        <v>0.97783139853200773</v>
      </c>
    </row>
    <row r="36" spans="1:12" x14ac:dyDescent="0.2">
      <c r="A36" s="9" t="s">
        <v>32</v>
      </c>
      <c r="B36">
        <v>75.928278688524586</v>
      </c>
      <c r="C36">
        <v>892.12090163934431</v>
      </c>
      <c r="D36">
        <v>3613.8447319778188</v>
      </c>
      <c r="E36">
        <v>1889.6709796672831</v>
      </c>
      <c r="F36">
        <v>0.97942196485555288</v>
      </c>
      <c r="G36">
        <v>0.67929991181787874</v>
      </c>
      <c r="H36">
        <f t="shared" si="3"/>
        <v>3689.7730106663435</v>
      </c>
      <c r="I36">
        <f t="shared" si="3"/>
        <v>2781.7918813066271</v>
      </c>
      <c r="J36">
        <f t="shared" si="1"/>
        <v>1.3264015311358344</v>
      </c>
      <c r="K36" s="11">
        <v>0.67929991181787874</v>
      </c>
      <c r="L36" s="11">
        <v>0.97942196485555288</v>
      </c>
    </row>
    <row r="37" spans="1:12" x14ac:dyDescent="0.2">
      <c r="A37" s="9" t="s">
        <v>33</v>
      </c>
      <c r="B37">
        <v>170.54564315352701</v>
      </c>
      <c r="C37">
        <v>921.292531120332</v>
      </c>
      <c r="D37">
        <v>4080.5068897637789</v>
      </c>
      <c r="E37">
        <v>3119.517716535433</v>
      </c>
      <c r="F37">
        <v>0.95988154890278687</v>
      </c>
      <c r="G37">
        <v>0.77200302051926084</v>
      </c>
      <c r="H37">
        <f t="shared" si="3"/>
        <v>4251.0525329173061</v>
      </c>
      <c r="I37">
        <f t="shared" si="3"/>
        <v>4040.8102476557651</v>
      </c>
      <c r="J37">
        <f t="shared" si="1"/>
        <v>1.0520297347254826</v>
      </c>
      <c r="K37" s="11">
        <v>0.77200302051926084</v>
      </c>
      <c r="L37" s="11">
        <v>0.95988154890278687</v>
      </c>
    </row>
    <row r="38" spans="1:12" x14ac:dyDescent="0.2">
      <c r="A38" s="9" t="s">
        <v>34</v>
      </c>
      <c r="B38">
        <v>47.101694915254242</v>
      </c>
      <c r="C38">
        <v>422.625</v>
      </c>
      <c r="D38">
        <v>588.80703624733474</v>
      </c>
      <c r="E38">
        <v>334.68656716417911</v>
      </c>
      <c r="F38">
        <v>0.92593010190449598</v>
      </c>
      <c r="G38">
        <v>0.44194038712156858</v>
      </c>
      <c r="H38">
        <f t="shared" si="3"/>
        <v>635.90873116258899</v>
      </c>
      <c r="I38">
        <f t="shared" si="3"/>
        <v>757.31156716417911</v>
      </c>
      <c r="J38">
        <f t="shared" si="1"/>
        <v>0.83969235217653693</v>
      </c>
      <c r="K38" s="11">
        <v>0.44194038712156858</v>
      </c>
      <c r="L38" s="11">
        <v>0.92593010190449598</v>
      </c>
    </row>
    <row r="39" spans="1:12" x14ac:dyDescent="0.2">
      <c r="A39" s="9" t="s">
        <v>35</v>
      </c>
      <c r="B39">
        <v>46.562367864693449</v>
      </c>
      <c r="C39">
        <v>597.87103594080338</v>
      </c>
      <c r="D39">
        <v>551.79191321499013</v>
      </c>
      <c r="E39">
        <v>480.6390532544379</v>
      </c>
      <c r="F39">
        <v>0.92218261097643472</v>
      </c>
      <c r="G39">
        <v>0.44565095687985579</v>
      </c>
      <c r="H39">
        <f t="shared" si="3"/>
        <v>598.35428107968357</v>
      </c>
      <c r="I39">
        <f t="shared" si="3"/>
        <v>1078.5100891952413</v>
      </c>
      <c r="J39">
        <f t="shared" si="1"/>
        <v>0.55479711045277413</v>
      </c>
      <c r="K39" s="11">
        <v>0.44565095687985579</v>
      </c>
      <c r="L39" s="11">
        <v>0.92218261097643472</v>
      </c>
    </row>
    <row r="40" spans="1:12" x14ac:dyDescent="0.2">
      <c r="A40" s="9" t="s">
        <v>36</v>
      </c>
      <c r="B40">
        <v>89.783185840707958</v>
      </c>
      <c r="C40">
        <v>1045.075221238938</v>
      </c>
      <c r="D40">
        <v>3865.878859857482</v>
      </c>
      <c r="E40">
        <v>1984.03325415677</v>
      </c>
      <c r="F40">
        <v>0.97730261463100776</v>
      </c>
      <c r="G40">
        <v>0.65498917264677536</v>
      </c>
      <c r="H40">
        <f t="shared" si="3"/>
        <v>3955.66204569819</v>
      </c>
      <c r="I40">
        <f t="shared" si="3"/>
        <v>3029.108475395708</v>
      </c>
      <c r="J40">
        <f t="shared" si="1"/>
        <v>1.3058832583344318</v>
      </c>
      <c r="K40" s="11">
        <v>0.65498917264677536</v>
      </c>
      <c r="L40" s="11">
        <v>0.97730261463100776</v>
      </c>
    </row>
    <row r="41" spans="1:12" x14ac:dyDescent="0.2">
      <c r="A41" s="9" t="s">
        <v>37</v>
      </c>
      <c r="B41">
        <v>89.573248407643305</v>
      </c>
      <c r="C41">
        <v>837.49469214437363</v>
      </c>
      <c r="D41">
        <v>3819.062726176116</v>
      </c>
      <c r="E41">
        <v>2498.5379975874548</v>
      </c>
      <c r="F41">
        <v>0.97708324617843634</v>
      </c>
      <c r="G41">
        <v>0.7489548904235418</v>
      </c>
      <c r="H41">
        <f t="shared" si="3"/>
        <v>3908.6359745837594</v>
      </c>
      <c r="I41">
        <f t="shared" si="3"/>
        <v>3336.0326897318282</v>
      </c>
      <c r="J41">
        <f t="shared" si="1"/>
        <v>1.1716419885855378</v>
      </c>
      <c r="K41" s="11">
        <v>0.7489548904235418</v>
      </c>
      <c r="L41" s="11">
        <v>0.97708324617843634</v>
      </c>
    </row>
    <row r="42" spans="1:12" x14ac:dyDescent="0.2">
      <c r="A42" s="9"/>
    </row>
    <row r="43" spans="1:12" x14ac:dyDescent="0.2">
      <c r="A43" s="9"/>
    </row>
    <row r="44" spans="1:12" x14ac:dyDescent="0.2">
      <c r="A44" s="9"/>
    </row>
    <row r="45" spans="1:12" x14ac:dyDescent="0.2">
      <c r="A45" s="9"/>
    </row>
    <row r="46" spans="1:12" x14ac:dyDescent="0.2">
      <c r="A46" s="9"/>
    </row>
    <row r="47" spans="1:12" x14ac:dyDescent="0.2">
      <c r="A47" s="9"/>
    </row>
    <row r="48" spans="1:12" x14ac:dyDescent="0.2">
      <c r="A48" s="9"/>
    </row>
    <row r="49" spans="1:1" x14ac:dyDescent="0.2">
      <c r="A49" s="9"/>
    </row>
    <row r="50" spans="1:1" x14ac:dyDescent="0.2">
      <c r="A50" s="9"/>
    </row>
    <row r="51" spans="1:1" x14ac:dyDescent="0.2">
      <c r="A51" s="9"/>
    </row>
    <row r="52" spans="1:1" x14ac:dyDescent="0.2">
      <c r="A52" s="9"/>
    </row>
    <row r="53" spans="1:1" x14ac:dyDescent="0.2">
      <c r="A53" s="9"/>
    </row>
    <row r="54" spans="1:1" x14ac:dyDescent="0.2">
      <c r="A54" s="9"/>
    </row>
    <row r="55" spans="1:1" x14ac:dyDescent="0.2">
      <c r="A55" s="9"/>
    </row>
    <row r="56" spans="1:1" x14ac:dyDescent="0.2">
      <c r="A56" s="9"/>
    </row>
    <row r="57" spans="1:1" x14ac:dyDescent="0.2">
      <c r="A57" s="9"/>
    </row>
    <row r="58" spans="1:1" x14ac:dyDescent="0.2">
      <c r="A58" s="9"/>
    </row>
    <row r="59" spans="1:1" x14ac:dyDescent="0.2">
      <c r="A59" s="9"/>
    </row>
    <row r="60" spans="1:1" x14ac:dyDescent="0.2">
      <c r="A60" s="9"/>
    </row>
    <row r="61" spans="1:1" x14ac:dyDescent="0.2">
      <c r="A61" s="9"/>
    </row>
    <row r="62" spans="1:1" x14ac:dyDescent="0.2">
      <c r="A62" s="9"/>
    </row>
    <row r="63" spans="1:1" x14ac:dyDescent="0.2">
      <c r="A63" s="9"/>
    </row>
    <row r="64" spans="1:1" x14ac:dyDescent="0.2">
      <c r="A64" s="9"/>
    </row>
    <row r="65" spans="1:1" x14ac:dyDescent="0.2">
      <c r="A65" s="9"/>
    </row>
    <row r="66" spans="1:1" x14ac:dyDescent="0.2">
      <c r="A66" s="9"/>
    </row>
    <row r="67" spans="1:1" x14ac:dyDescent="0.2">
      <c r="A67" s="9"/>
    </row>
    <row r="68" spans="1:1" x14ac:dyDescent="0.2">
      <c r="A68" s="9"/>
    </row>
    <row r="69" spans="1:1" x14ac:dyDescent="0.2">
      <c r="A69" s="9"/>
    </row>
    <row r="70" spans="1:1" x14ac:dyDescent="0.2">
      <c r="A70" s="9"/>
    </row>
    <row r="71" spans="1:1" x14ac:dyDescent="0.2">
      <c r="A71" s="9"/>
    </row>
    <row r="72" spans="1:1" x14ac:dyDescent="0.2">
      <c r="A72" s="9"/>
    </row>
    <row r="73" spans="1:1" x14ac:dyDescent="0.2">
      <c r="A73" s="9"/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9"/>
    </row>
    <row r="81" spans="1:1" x14ac:dyDescent="0.2">
      <c r="A81" s="9"/>
    </row>
    <row r="82" spans="1:1" x14ac:dyDescent="0.2">
      <c r="A82" s="9"/>
    </row>
    <row r="83" spans="1:1" x14ac:dyDescent="0.2">
      <c r="A83" s="9"/>
    </row>
    <row r="84" spans="1:1" x14ac:dyDescent="0.2">
      <c r="A84" s="9"/>
    </row>
    <row r="85" spans="1:1" x14ac:dyDescent="0.2">
      <c r="A85" s="9"/>
    </row>
    <row r="86" spans="1:1" x14ac:dyDescent="0.2">
      <c r="A86" s="9"/>
    </row>
    <row r="87" spans="1:1" x14ac:dyDescent="0.2">
      <c r="A87" s="9"/>
    </row>
    <row r="88" spans="1:1" x14ac:dyDescent="0.2">
      <c r="A88" s="9"/>
    </row>
    <row r="89" spans="1:1" x14ac:dyDescent="0.2">
      <c r="A89" s="9"/>
    </row>
    <row r="90" spans="1:1" x14ac:dyDescent="0.2">
      <c r="A90" s="9"/>
    </row>
    <row r="91" spans="1:1" x14ac:dyDescent="0.2">
      <c r="A91" s="9"/>
    </row>
    <row r="92" spans="1:1" x14ac:dyDescent="0.2">
      <c r="A92" s="9"/>
    </row>
    <row r="93" spans="1:1" x14ac:dyDescent="0.2">
      <c r="A93" s="9"/>
    </row>
    <row r="94" spans="1:1" x14ac:dyDescent="0.2">
      <c r="A94" s="9"/>
    </row>
    <row r="95" spans="1:1" x14ac:dyDescent="0.2">
      <c r="A95" s="9"/>
    </row>
    <row r="96" spans="1:1" x14ac:dyDescent="0.2">
      <c r="A96" s="9"/>
    </row>
    <row r="97" spans="1:1" x14ac:dyDescent="0.2">
      <c r="A97" s="9"/>
    </row>
    <row r="98" spans="1:1" x14ac:dyDescent="0.2">
      <c r="A98" s="9"/>
    </row>
    <row r="99" spans="1:1" x14ac:dyDescent="0.2">
      <c r="A99" s="9"/>
    </row>
    <row r="100" spans="1:1" x14ac:dyDescent="0.2">
      <c r="A100" s="9"/>
    </row>
    <row r="101" spans="1:1" x14ac:dyDescent="0.2">
      <c r="A101" s="9"/>
    </row>
    <row r="102" spans="1:1" x14ac:dyDescent="0.2">
      <c r="A102" s="9"/>
    </row>
    <row r="103" spans="1:1" x14ac:dyDescent="0.2">
      <c r="A103" s="9"/>
    </row>
    <row r="104" spans="1:1" x14ac:dyDescent="0.2">
      <c r="A104" s="9"/>
    </row>
    <row r="105" spans="1:1" x14ac:dyDescent="0.2">
      <c r="A105" s="9"/>
    </row>
    <row r="106" spans="1:1" x14ac:dyDescent="0.2">
      <c r="A106" s="9"/>
    </row>
    <row r="107" spans="1:1" x14ac:dyDescent="0.2">
      <c r="A107" s="9"/>
    </row>
    <row r="108" spans="1:1" x14ac:dyDescent="0.2">
      <c r="A108" s="9"/>
    </row>
    <row r="109" spans="1:1" x14ac:dyDescent="0.2">
      <c r="A109" s="9"/>
    </row>
    <row r="110" spans="1:1" x14ac:dyDescent="0.2">
      <c r="A110" s="9"/>
    </row>
    <row r="111" spans="1:1" x14ac:dyDescent="0.2">
      <c r="A111" s="9"/>
    </row>
    <row r="112" spans="1:1" x14ac:dyDescent="0.2">
      <c r="A112" s="9"/>
    </row>
    <row r="113" spans="1:1" x14ac:dyDescent="0.2">
      <c r="A113" s="9"/>
    </row>
    <row r="114" spans="1:1" x14ac:dyDescent="0.2">
      <c r="A114" s="9"/>
    </row>
    <row r="115" spans="1:1" x14ac:dyDescent="0.2">
      <c r="A115" s="9"/>
    </row>
    <row r="116" spans="1:1" x14ac:dyDescent="0.2">
      <c r="A116" s="9"/>
    </row>
    <row r="117" spans="1:1" x14ac:dyDescent="0.2">
      <c r="A117" s="9"/>
    </row>
    <row r="118" spans="1:1" x14ac:dyDescent="0.2">
      <c r="A118" s="9"/>
    </row>
    <row r="119" spans="1:1" x14ac:dyDescent="0.2">
      <c r="A119" s="9"/>
    </row>
    <row r="120" spans="1:1" x14ac:dyDescent="0.2">
      <c r="A120" s="9"/>
    </row>
    <row r="121" spans="1:1" x14ac:dyDescent="0.2">
      <c r="A121" s="9"/>
    </row>
    <row r="122" spans="1:1" x14ac:dyDescent="0.2">
      <c r="A122" s="9"/>
    </row>
    <row r="123" spans="1:1" x14ac:dyDescent="0.2">
      <c r="A123" s="9"/>
    </row>
    <row r="124" spans="1:1" x14ac:dyDescent="0.2">
      <c r="A124" s="9"/>
    </row>
    <row r="125" spans="1:1" x14ac:dyDescent="0.2">
      <c r="A125" s="9"/>
    </row>
    <row r="126" spans="1:1" x14ac:dyDescent="0.2">
      <c r="A126" s="9"/>
    </row>
    <row r="127" spans="1:1" x14ac:dyDescent="0.2">
      <c r="A127" s="9"/>
    </row>
    <row r="128" spans="1:1" x14ac:dyDescent="0.2">
      <c r="A128" s="9"/>
    </row>
    <row r="129" spans="1:1" x14ac:dyDescent="0.2">
      <c r="A129" s="9"/>
    </row>
    <row r="130" spans="1:1" x14ac:dyDescent="0.2">
      <c r="A130" s="9"/>
    </row>
    <row r="131" spans="1:1" x14ac:dyDescent="0.2">
      <c r="A131" s="9"/>
    </row>
    <row r="132" spans="1:1" x14ac:dyDescent="0.2">
      <c r="A132" s="9"/>
    </row>
    <row r="133" spans="1:1" x14ac:dyDescent="0.2">
      <c r="A133" s="9"/>
    </row>
    <row r="134" spans="1:1" x14ac:dyDescent="0.2">
      <c r="A134" s="9"/>
    </row>
    <row r="135" spans="1:1" x14ac:dyDescent="0.2">
      <c r="A135" s="9"/>
    </row>
    <row r="136" spans="1:1" x14ac:dyDescent="0.2">
      <c r="A136" s="9"/>
    </row>
    <row r="137" spans="1:1" x14ac:dyDescent="0.2">
      <c r="A137" s="9"/>
    </row>
    <row r="138" spans="1:1" x14ac:dyDescent="0.2">
      <c r="A138" s="9"/>
    </row>
    <row r="139" spans="1:1" x14ac:dyDescent="0.2">
      <c r="A139" s="9"/>
    </row>
    <row r="140" spans="1:1" x14ac:dyDescent="0.2">
      <c r="A140" s="9"/>
    </row>
    <row r="141" spans="1:1" x14ac:dyDescent="0.2">
      <c r="A141" s="9"/>
    </row>
    <row r="142" spans="1:1" x14ac:dyDescent="0.2">
      <c r="A142" s="9"/>
    </row>
    <row r="143" spans="1:1" x14ac:dyDescent="0.2">
      <c r="A143" s="9"/>
    </row>
    <row r="144" spans="1:1" x14ac:dyDescent="0.2">
      <c r="A144" s="9"/>
    </row>
    <row r="145" spans="1:1" x14ac:dyDescent="0.2">
      <c r="A145" s="9"/>
    </row>
    <row r="146" spans="1:1" x14ac:dyDescent="0.2">
      <c r="A146" s="9"/>
    </row>
    <row r="147" spans="1:1" x14ac:dyDescent="0.2">
      <c r="A147" s="9"/>
    </row>
    <row r="148" spans="1:1" x14ac:dyDescent="0.2">
      <c r="A148" s="9"/>
    </row>
    <row r="149" spans="1:1" x14ac:dyDescent="0.2">
      <c r="A149" s="9"/>
    </row>
    <row r="150" spans="1:1" x14ac:dyDescent="0.2">
      <c r="A150" s="9"/>
    </row>
    <row r="151" spans="1:1" x14ac:dyDescent="0.2">
      <c r="A151" s="9"/>
    </row>
    <row r="152" spans="1:1" x14ac:dyDescent="0.2">
      <c r="A152" s="9"/>
    </row>
    <row r="153" spans="1:1" x14ac:dyDescent="0.2">
      <c r="A153" s="9"/>
    </row>
    <row r="154" spans="1:1" x14ac:dyDescent="0.2">
      <c r="A154" s="9"/>
    </row>
    <row r="155" spans="1:1" x14ac:dyDescent="0.2">
      <c r="A155" s="9"/>
    </row>
    <row r="156" spans="1:1" x14ac:dyDescent="0.2">
      <c r="A156" s="9"/>
    </row>
    <row r="157" spans="1:1" x14ac:dyDescent="0.2">
      <c r="A157" s="9"/>
    </row>
    <row r="158" spans="1:1" x14ac:dyDescent="0.2">
      <c r="A158" s="9"/>
    </row>
    <row r="159" spans="1:1" x14ac:dyDescent="0.2">
      <c r="A159" s="9"/>
    </row>
    <row r="160" spans="1:1" x14ac:dyDescent="0.2">
      <c r="A160" s="9"/>
    </row>
    <row r="161" spans="1:1" x14ac:dyDescent="0.2">
      <c r="A161" s="9"/>
    </row>
    <row r="162" spans="1:1" x14ac:dyDescent="0.2">
      <c r="A162" s="9"/>
    </row>
    <row r="163" spans="1:1" x14ac:dyDescent="0.2">
      <c r="A163" s="9"/>
    </row>
    <row r="164" spans="1:1" x14ac:dyDescent="0.2">
      <c r="A164" s="9"/>
    </row>
    <row r="165" spans="1:1" x14ac:dyDescent="0.2">
      <c r="A165" s="9"/>
    </row>
    <row r="166" spans="1:1" x14ac:dyDescent="0.2">
      <c r="A166" s="9"/>
    </row>
    <row r="167" spans="1:1" x14ac:dyDescent="0.2">
      <c r="A167" s="9"/>
    </row>
    <row r="168" spans="1:1" x14ac:dyDescent="0.2">
      <c r="A168" s="9"/>
    </row>
    <row r="169" spans="1:1" x14ac:dyDescent="0.2">
      <c r="A169" s="9"/>
    </row>
    <row r="170" spans="1:1" x14ac:dyDescent="0.2">
      <c r="A170" s="9"/>
    </row>
    <row r="171" spans="1:1" x14ac:dyDescent="0.2">
      <c r="A171" s="9"/>
    </row>
    <row r="172" spans="1:1" x14ac:dyDescent="0.2">
      <c r="A172" s="9"/>
    </row>
    <row r="173" spans="1:1" x14ac:dyDescent="0.2">
      <c r="A173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127F6-2A65-5242-B83F-B507FC63B608}">
  <dimension ref="A1:L41"/>
  <sheetViews>
    <sheetView workbookViewId="0">
      <selection activeCell="A12" sqref="A12:XFD21"/>
    </sheetView>
  </sheetViews>
  <sheetFormatPr baseColWidth="10" defaultRowHeight="16" x14ac:dyDescent="0.2"/>
  <sheetData>
    <row r="1" spans="1:12" s="1" customFormat="1" ht="68" x14ac:dyDescent="0.2">
      <c r="B1" s="12" t="s">
        <v>121</v>
      </c>
      <c r="C1" s="12" t="s">
        <v>122</v>
      </c>
      <c r="D1" s="12" t="s">
        <v>123</v>
      </c>
      <c r="E1" s="12" t="s">
        <v>124</v>
      </c>
      <c r="F1" s="12" t="s">
        <v>120</v>
      </c>
      <c r="G1" s="12" t="s">
        <v>119</v>
      </c>
      <c r="H1" s="6" t="s">
        <v>116</v>
      </c>
      <c r="I1" s="6" t="s">
        <v>117</v>
      </c>
      <c r="J1" s="1" t="s">
        <v>118</v>
      </c>
      <c r="K1" s="10" t="s">
        <v>119</v>
      </c>
      <c r="L1" s="10" t="s">
        <v>120</v>
      </c>
    </row>
    <row r="2" spans="1:12" ht="15" x14ac:dyDescent="0.2">
      <c r="A2" s="9" t="s">
        <v>38</v>
      </c>
      <c r="B2">
        <v>61.241626794258373</v>
      </c>
      <c r="C2">
        <v>628.98564593301433</v>
      </c>
      <c r="D2">
        <v>1012.727361246349</v>
      </c>
      <c r="E2">
        <v>199.44790652385589</v>
      </c>
      <c r="F2">
        <v>0.94297635455378448</v>
      </c>
      <c r="G2">
        <v>0.24075305247156739</v>
      </c>
      <c r="H2">
        <f t="shared" ref="H2:I11" si="0">D2+B2</f>
        <v>1073.9689880406074</v>
      </c>
      <c r="I2">
        <f t="shared" si="0"/>
        <v>828.43355245687019</v>
      </c>
      <c r="J2">
        <f t="shared" ref="J2:J41" si="1">H2/I2</f>
        <v>1.2963851896818488</v>
      </c>
      <c r="K2" s="11">
        <v>0.24075305247156739</v>
      </c>
      <c r="L2" s="11">
        <v>0.94297635455378448</v>
      </c>
    </row>
    <row r="3" spans="1:12" x14ac:dyDescent="0.2">
      <c r="A3" s="9" t="s">
        <v>39</v>
      </c>
      <c r="B3">
        <v>68.133663366336634</v>
      </c>
      <c r="C3">
        <v>555.83168316831689</v>
      </c>
      <c r="D3">
        <v>1488.6151631477931</v>
      </c>
      <c r="E3">
        <v>243.76295585412669</v>
      </c>
      <c r="F3">
        <v>0.95623336134519443</v>
      </c>
      <c r="G3">
        <v>0.30485816682330791</v>
      </c>
      <c r="H3">
        <f t="shared" si="0"/>
        <v>1556.7488265141296</v>
      </c>
      <c r="I3">
        <f t="shared" si="0"/>
        <v>799.59463902244352</v>
      </c>
      <c r="J3">
        <f t="shared" si="1"/>
        <v>1.946922541173308</v>
      </c>
      <c r="K3" s="11">
        <v>0.30485816682330791</v>
      </c>
      <c r="L3" s="11">
        <v>0.95623336134519443</v>
      </c>
    </row>
    <row r="4" spans="1:12" x14ac:dyDescent="0.2">
      <c r="A4" s="9" t="s">
        <v>40</v>
      </c>
      <c r="B4">
        <v>57.217842323651453</v>
      </c>
      <c r="C4">
        <v>631.11203319502079</v>
      </c>
      <c r="D4">
        <v>592.53658536585363</v>
      </c>
      <c r="E4">
        <v>184.3719512195122</v>
      </c>
      <c r="F4">
        <v>0.91193928061850182</v>
      </c>
      <c r="G4">
        <v>0.22608899100805741</v>
      </c>
      <c r="H4">
        <f t="shared" si="0"/>
        <v>649.75442768950506</v>
      </c>
      <c r="I4">
        <f t="shared" si="0"/>
        <v>815.48398441453298</v>
      </c>
      <c r="J4">
        <f t="shared" si="1"/>
        <v>0.79677153703513692</v>
      </c>
      <c r="K4" s="11">
        <v>0.22608899100805741</v>
      </c>
      <c r="L4" s="11">
        <v>0.91193928061850182</v>
      </c>
    </row>
    <row r="5" spans="1:12" x14ac:dyDescent="0.2">
      <c r="A5" s="9" t="s">
        <v>41</v>
      </c>
      <c r="B5">
        <v>240.30447761194031</v>
      </c>
      <c r="C5">
        <v>1916.731343283582</v>
      </c>
      <c r="D5">
        <v>4094.7511848341228</v>
      </c>
      <c r="E5">
        <v>389.40402843601902</v>
      </c>
      <c r="F5">
        <v>0.94456715292178095</v>
      </c>
      <c r="G5">
        <v>0.16885566788980591</v>
      </c>
      <c r="H5">
        <f t="shared" si="0"/>
        <v>4335.0556624460633</v>
      </c>
      <c r="I5">
        <f t="shared" si="0"/>
        <v>2306.1353717196012</v>
      </c>
      <c r="J5">
        <f t="shared" si="1"/>
        <v>1.8797923641462426</v>
      </c>
      <c r="K5" s="11">
        <v>0.16885566788980591</v>
      </c>
      <c r="L5" s="11">
        <v>0.94456715292178095</v>
      </c>
    </row>
    <row r="6" spans="1:12" x14ac:dyDescent="0.2">
      <c r="A6" s="9" t="s">
        <v>42</v>
      </c>
      <c r="B6">
        <v>191.1392931392931</v>
      </c>
      <c r="C6">
        <v>1588.536382536382</v>
      </c>
      <c r="D6">
        <v>4094.8452982810918</v>
      </c>
      <c r="E6">
        <v>291.91809908998988</v>
      </c>
      <c r="F6">
        <v>0.95540364435235892</v>
      </c>
      <c r="G6">
        <v>0.15523805651361211</v>
      </c>
      <c r="H6">
        <f t="shared" si="0"/>
        <v>4285.9845914203852</v>
      </c>
      <c r="I6">
        <f t="shared" si="0"/>
        <v>1880.4544816263719</v>
      </c>
      <c r="J6">
        <f t="shared" si="1"/>
        <v>2.2792280447615583</v>
      </c>
      <c r="K6" s="11">
        <v>0.15523805651361211</v>
      </c>
      <c r="L6" s="11">
        <v>0.95540364435235892</v>
      </c>
    </row>
    <row r="7" spans="1:12" x14ac:dyDescent="0.2">
      <c r="A7" s="9" t="s">
        <v>43</v>
      </c>
      <c r="B7">
        <v>45.07462686567164</v>
      </c>
      <c r="C7">
        <v>797.8955223880597</v>
      </c>
      <c r="D7">
        <v>411.18174273858921</v>
      </c>
      <c r="E7">
        <v>237.3526970954357</v>
      </c>
      <c r="F7">
        <v>0.90120767649826428</v>
      </c>
      <c r="G7">
        <v>0.2292712922644343</v>
      </c>
      <c r="H7">
        <f t="shared" si="0"/>
        <v>456.25636960426084</v>
      </c>
      <c r="I7">
        <f t="shared" si="0"/>
        <v>1035.2482194834954</v>
      </c>
      <c r="J7">
        <f t="shared" si="1"/>
        <v>0.44072171390151788</v>
      </c>
      <c r="K7" s="11">
        <v>0.2292712922644343</v>
      </c>
      <c r="L7" s="11">
        <v>0.90120767649826428</v>
      </c>
    </row>
    <row r="8" spans="1:12" x14ac:dyDescent="0.2">
      <c r="A8" s="9" t="s">
        <v>44</v>
      </c>
      <c r="B8">
        <v>226.61810154525389</v>
      </c>
      <c r="C8">
        <v>1524.4503311258279</v>
      </c>
      <c r="D8">
        <v>4084.0251716247139</v>
      </c>
      <c r="E8">
        <v>353.39588100686501</v>
      </c>
      <c r="F8">
        <v>0.94742824047729579</v>
      </c>
      <c r="G8">
        <v>0.18819213134898249</v>
      </c>
      <c r="H8">
        <f t="shared" si="0"/>
        <v>4310.6432731699679</v>
      </c>
      <c r="I8">
        <f t="shared" si="0"/>
        <v>1877.8462121326929</v>
      </c>
      <c r="J8">
        <f t="shared" si="1"/>
        <v>2.2955251848202827</v>
      </c>
      <c r="K8" s="11">
        <v>0.18819213134898249</v>
      </c>
      <c r="L8" s="11">
        <v>0.94742824047729579</v>
      </c>
    </row>
    <row r="9" spans="1:12" x14ac:dyDescent="0.2">
      <c r="A9" s="9" t="s">
        <v>45</v>
      </c>
      <c r="B9">
        <v>86.717724288840259</v>
      </c>
      <c r="C9">
        <v>1740.17067833698</v>
      </c>
      <c r="D9">
        <v>3958.1448801742922</v>
      </c>
      <c r="E9">
        <v>472.83224400871461</v>
      </c>
      <c r="F9">
        <v>0.97856102103612741</v>
      </c>
      <c r="G9">
        <v>0.2136609216527971</v>
      </c>
      <c r="H9">
        <f t="shared" si="0"/>
        <v>4044.8626044631324</v>
      </c>
      <c r="I9">
        <f t="shared" si="0"/>
        <v>2213.0029223456945</v>
      </c>
      <c r="J9">
        <f t="shared" si="1"/>
        <v>1.8277710181131346</v>
      </c>
      <c r="K9" s="11">
        <v>0.2136609216527971</v>
      </c>
      <c r="L9" s="11">
        <v>0.97856102103612741</v>
      </c>
    </row>
    <row r="10" spans="1:12" x14ac:dyDescent="0.2">
      <c r="A10" s="9" t="s">
        <v>46</v>
      </c>
      <c r="B10">
        <v>55.49335863377609</v>
      </c>
      <c r="C10">
        <v>711.92789373814037</v>
      </c>
      <c r="D10">
        <v>561.84776119402989</v>
      </c>
      <c r="E10">
        <v>180.77810945273629</v>
      </c>
      <c r="F10">
        <v>0.91010908418144121</v>
      </c>
      <c r="G10">
        <v>0.2025057620387512</v>
      </c>
      <c r="H10">
        <f t="shared" si="0"/>
        <v>617.34111982780598</v>
      </c>
      <c r="I10">
        <f t="shared" si="0"/>
        <v>892.70600319087669</v>
      </c>
      <c r="J10">
        <f t="shared" si="1"/>
        <v>0.69153911547720071</v>
      </c>
      <c r="K10" s="11">
        <v>0.2025057620387512</v>
      </c>
      <c r="L10" s="11">
        <v>0.91010908418144121</v>
      </c>
    </row>
    <row r="11" spans="1:12" x14ac:dyDescent="0.2">
      <c r="A11" s="9" t="s">
        <v>47</v>
      </c>
      <c r="B11">
        <v>70.545212765957444</v>
      </c>
      <c r="C11">
        <v>731.79787234042556</v>
      </c>
      <c r="D11">
        <v>825.68854415274461</v>
      </c>
      <c r="E11">
        <v>150.744630071599</v>
      </c>
      <c r="F11">
        <v>0.92128703898802522</v>
      </c>
      <c r="G11">
        <v>0.170807218530108</v>
      </c>
      <c r="H11">
        <f t="shared" si="0"/>
        <v>896.23375691870206</v>
      </c>
      <c r="I11">
        <f t="shared" si="0"/>
        <v>882.54250241202453</v>
      </c>
      <c r="J11">
        <f t="shared" si="1"/>
        <v>1.0155134222649433</v>
      </c>
      <c r="K11" s="11">
        <v>0.170807218530108</v>
      </c>
      <c r="L11" s="11">
        <v>0.92128703898802522</v>
      </c>
    </row>
    <row r="12" spans="1:12" x14ac:dyDescent="0.2">
      <c r="A12" s="9" t="s">
        <v>48</v>
      </c>
      <c r="B12">
        <v>221.28134556574921</v>
      </c>
      <c r="C12">
        <v>816.20183486238534</v>
      </c>
      <c r="D12">
        <v>4095</v>
      </c>
      <c r="E12">
        <v>3417.6246246246251</v>
      </c>
      <c r="F12">
        <v>0.94873333597841625</v>
      </c>
      <c r="G12">
        <v>0.80721887335899922</v>
      </c>
      <c r="H12">
        <f t="shared" ref="H12:I27" si="2">B12+D12</f>
        <v>4316.2813455657488</v>
      </c>
      <c r="I12">
        <f t="shared" si="2"/>
        <v>4233.8264594870107</v>
      </c>
      <c r="J12">
        <f t="shared" si="1"/>
        <v>1.019475263539434</v>
      </c>
      <c r="K12" s="11">
        <v>0.80721887335899922</v>
      </c>
      <c r="L12" s="11">
        <v>0.94873333597841625</v>
      </c>
    </row>
    <row r="13" spans="1:12" x14ac:dyDescent="0.2">
      <c r="A13" s="9" t="s">
        <v>49</v>
      </c>
      <c r="B13">
        <v>812.36363636363637</v>
      </c>
      <c r="C13">
        <v>993.59848484848487</v>
      </c>
      <c r="D13">
        <v>4095</v>
      </c>
      <c r="E13">
        <v>3349.8752834467118</v>
      </c>
      <c r="F13">
        <v>0.83446027305903936</v>
      </c>
      <c r="G13">
        <v>0.7712433554678817</v>
      </c>
      <c r="H13">
        <f t="shared" si="2"/>
        <v>4907.363636363636</v>
      </c>
      <c r="I13">
        <f t="shared" si="2"/>
        <v>4343.4737682951964</v>
      </c>
      <c r="J13">
        <f t="shared" si="1"/>
        <v>1.1298246284309357</v>
      </c>
      <c r="K13" s="11">
        <v>0.7712433554678817</v>
      </c>
      <c r="L13" s="11">
        <v>0.83446027305903936</v>
      </c>
    </row>
    <row r="14" spans="1:12" x14ac:dyDescent="0.2">
      <c r="A14" s="9" t="s">
        <v>50</v>
      </c>
      <c r="B14">
        <v>157.65194805194801</v>
      </c>
      <c r="C14">
        <v>1192.633766233766</v>
      </c>
      <c r="D14">
        <v>4091.5468451242832</v>
      </c>
      <c r="E14">
        <v>1993.2045889101339</v>
      </c>
      <c r="F14">
        <v>0.96289842962745809</v>
      </c>
      <c r="G14">
        <v>0.62564523579543119</v>
      </c>
      <c r="H14">
        <f t="shared" si="2"/>
        <v>4249.1987931762314</v>
      </c>
      <c r="I14">
        <f t="shared" si="2"/>
        <v>3185.8383551439001</v>
      </c>
      <c r="J14">
        <f t="shared" si="1"/>
        <v>1.3337772728849895</v>
      </c>
      <c r="K14" s="11">
        <v>0.62564523579543119</v>
      </c>
      <c r="L14" s="11">
        <v>0.96289842962745809</v>
      </c>
    </row>
    <row r="15" spans="1:12" x14ac:dyDescent="0.2">
      <c r="A15" s="9" t="s">
        <v>51</v>
      </c>
      <c r="B15">
        <v>165.52334152334149</v>
      </c>
      <c r="C15">
        <v>1421.304668304668</v>
      </c>
      <c r="D15">
        <v>4064.666112956811</v>
      </c>
      <c r="E15">
        <v>1088.235880398671</v>
      </c>
      <c r="F15">
        <v>0.96087093892496045</v>
      </c>
      <c r="G15">
        <v>0.43363948869483471</v>
      </c>
      <c r="H15">
        <f t="shared" si="2"/>
        <v>4230.1894544801526</v>
      </c>
      <c r="I15">
        <f t="shared" si="2"/>
        <v>2509.540548703339</v>
      </c>
      <c r="J15">
        <f t="shared" si="1"/>
        <v>1.6856429981439671</v>
      </c>
      <c r="K15" s="11">
        <v>0.43363948869483471</v>
      </c>
      <c r="L15" s="11">
        <v>0.96087093892496045</v>
      </c>
    </row>
    <row r="16" spans="1:12" x14ac:dyDescent="0.2">
      <c r="A16" s="9" t="s">
        <v>48</v>
      </c>
      <c r="B16">
        <v>221.28134556574921</v>
      </c>
      <c r="C16">
        <v>816.20183486238534</v>
      </c>
      <c r="D16">
        <v>4095</v>
      </c>
      <c r="E16">
        <v>3417.6246246246251</v>
      </c>
      <c r="F16">
        <v>0.94873333597841625</v>
      </c>
      <c r="G16">
        <v>0.80721887335899922</v>
      </c>
      <c r="H16">
        <f t="shared" si="2"/>
        <v>4316.2813455657488</v>
      </c>
      <c r="I16">
        <f t="shared" si="2"/>
        <v>4233.8264594870107</v>
      </c>
      <c r="J16">
        <f t="shared" si="1"/>
        <v>1.019475263539434</v>
      </c>
      <c r="K16" s="11">
        <v>0.80721887335899922</v>
      </c>
      <c r="L16" s="11">
        <v>0.94873333597841625</v>
      </c>
    </row>
    <row r="17" spans="1:12" x14ac:dyDescent="0.2">
      <c r="A17" s="9" t="s">
        <v>52</v>
      </c>
      <c r="B17">
        <v>73.78270042194093</v>
      </c>
      <c r="C17">
        <v>1131.2320675105491</v>
      </c>
      <c r="D17">
        <v>2087.5376940133042</v>
      </c>
      <c r="E17">
        <v>370.60643015521072</v>
      </c>
      <c r="F17">
        <v>0.96586221061351696</v>
      </c>
      <c r="G17">
        <v>0.24676849789856081</v>
      </c>
      <c r="H17">
        <f t="shared" si="2"/>
        <v>2161.3203944352449</v>
      </c>
      <c r="I17">
        <f t="shared" si="2"/>
        <v>1501.8384976657599</v>
      </c>
      <c r="J17">
        <f t="shared" si="1"/>
        <v>1.439116388209843</v>
      </c>
      <c r="K17" s="11">
        <v>0.24676849789856081</v>
      </c>
      <c r="L17" s="11">
        <v>0.96586221061351696</v>
      </c>
    </row>
    <row r="18" spans="1:12" x14ac:dyDescent="0.2">
      <c r="A18" s="9" t="s">
        <v>53</v>
      </c>
      <c r="B18">
        <v>58.757281553398059</v>
      </c>
      <c r="C18">
        <v>1070.1432038834951</v>
      </c>
      <c r="D18">
        <v>618.42386363636365</v>
      </c>
      <c r="E18">
        <v>629.15795454545457</v>
      </c>
      <c r="F18">
        <v>0.91323254941344689</v>
      </c>
      <c r="G18">
        <v>0.37024511601411969</v>
      </c>
      <c r="H18">
        <f t="shared" si="2"/>
        <v>677.18114518976176</v>
      </c>
      <c r="I18">
        <f t="shared" si="2"/>
        <v>1699.3011584289497</v>
      </c>
      <c r="J18">
        <f t="shared" si="1"/>
        <v>0.39850566912802804</v>
      </c>
      <c r="K18" s="11">
        <v>0.37024511601411969</v>
      </c>
      <c r="L18" s="11">
        <v>0.91323254941344689</v>
      </c>
    </row>
    <row r="19" spans="1:12" x14ac:dyDescent="0.2">
      <c r="A19" s="9" t="s">
        <v>54</v>
      </c>
      <c r="B19">
        <v>65.617250673854443</v>
      </c>
      <c r="C19">
        <v>800.90566037735846</v>
      </c>
      <c r="D19">
        <v>692.88</v>
      </c>
      <c r="E19">
        <v>276.35351351351352</v>
      </c>
      <c r="F19">
        <v>0.91349045680052288</v>
      </c>
      <c r="G19">
        <v>0.25653391515374419</v>
      </c>
      <c r="H19">
        <f t="shared" si="2"/>
        <v>758.49725067385441</v>
      </c>
      <c r="I19">
        <f t="shared" si="2"/>
        <v>1077.259173890872</v>
      </c>
      <c r="J19">
        <f t="shared" si="1"/>
        <v>0.70409913329797391</v>
      </c>
      <c r="K19" s="11">
        <v>0.25653391515374419</v>
      </c>
      <c r="L19" s="11">
        <v>0.91349045680052288</v>
      </c>
    </row>
    <row r="20" spans="1:12" x14ac:dyDescent="0.2">
      <c r="A20" s="9" t="s">
        <v>55</v>
      </c>
      <c r="B20">
        <v>87.310276679841891</v>
      </c>
      <c r="C20">
        <v>1349.794466403162</v>
      </c>
      <c r="D20">
        <v>3204.1937269372688</v>
      </c>
      <c r="E20">
        <v>604.11439114391146</v>
      </c>
      <c r="F20">
        <v>0.97347404816038663</v>
      </c>
      <c r="G20">
        <v>0.30918248249425168</v>
      </c>
      <c r="H20">
        <f t="shared" si="2"/>
        <v>3291.5040036171108</v>
      </c>
      <c r="I20">
        <f t="shared" si="2"/>
        <v>1953.9088575470735</v>
      </c>
      <c r="J20">
        <f t="shared" si="1"/>
        <v>1.6845739712492256</v>
      </c>
      <c r="K20" s="11">
        <v>0.30918248249425168</v>
      </c>
      <c r="L20" s="11">
        <v>0.97347404816038663</v>
      </c>
    </row>
    <row r="21" spans="1:12" x14ac:dyDescent="0.2">
      <c r="A21" s="9" t="s">
        <v>56</v>
      </c>
      <c r="B21">
        <v>94.580246913580254</v>
      </c>
      <c r="C21">
        <v>903.92345679012351</v>
      </c>
      <c r="D21">
        <v>535.04746835443041</v>
      </c>
      <c r="E21">
        <v>212.51898734177209</v>
      </c>
      <c r="F21">
        <v>0.8497838569998134</v>
      </c>
      <c r="G21">
        <v>0.19035373337764769</v>
      </c>
      <c r="H21">
        <f t="shared" si="2"/>
        <v>629.62771526801066</v>
      </c>
      <c r="I21">
        <f t="shared" si="2"/>
        <v>1116.4424441318956</v>
      </c>
      <c r="J21">
        <f t="shared" si="1"/>
        <v>0.56395895603699109</v>
      </c>
      <c r="K21" s="11">
        <v>0.19035373337764769</v>
      </c>
      <c r="L21" s="11">
        <v>0.8497838569998134</v>
      </c>
    </row>
    <row r="22" spans="1:12" x14ac:dyDescent="0.2">
      <c r="A22" s="9" t="s">
        <v>57</v>
      </c>
      <c r="B22">
        <v>114.522491349481</v>
      </c>
      <c r="C22">
        <v>796.00346020761242</v>
      </c>
      <c r="D22">
        <v>3958.8063291139242</v>
      </c>
      <c r="E22">
        <v>2615.9101265822778</v>
      </c>
      <c r="F22">
        <v>0.9718847909419569</v>
      </c>
      <c r="G22">
        <v>0.76669882165552294</v>
      </c>
      <c r="H22">
        <f t="shared" si="2"/>
        <v>4073.328820463405</v>
      </c>
      <c r="I22">
        <f t="shared" si="2"/>
        <v>3411.9135867898904</v>
      </c>
      <c r="J22">
        <f t="shared" si="1"/>
        <v>1.1938546263992018</v>
      </c>
      <c r="K22" s="11">
        <v>0.76669882165552294</v>
      </c>
      <c r="L22" s="11">
        <v>0.9718847909419569</v>
      </c>
    </row>
    <row r="23" spans="1:12" x14ac:dyDescent="0.2">
      <c r="A23" s="9" t="s">
        <v>58</v>
      </c>
      <c r="B23">
        <v>125.986013986014</v>
      </c>
      <c r="C23">
        <v>584.3566433566433</v>
      </c>
      <c r="D23">
        <v>4013.4380630630631</v>
      </c>
      <c r="E23">
        <v>2561.6891891891892</v>
      </c>
      <c r="F23">
        <v>0.96956436169839666</v>
      </c>
      <c r="G23">
        <v>0.81425679266605844</v>
      </c>
      <c r="H23">
        <f t="shared" si="2"/>
        <v>4139.4240770490769</v>
      </c>
      <c r="I23">
        <f t="shared" si="2"/>
        <v>3146.0458325458326</v>
      </c>
      <c r="J23">
        <f t="shared" si="1"/>
        <v>1.3157545367669949</v>
      </c>
      <c r="K23" s="11">
        <v>0.81425679266605844</v>
      </c>
      <c r="L23" s="11">
        <v>0.96956436169839666</v>
      </c>
    </row>
    <row r="24" spans="1:12" x14ac:dyDescent="0.2">
      <c r="A24" s="9" t="s">
        <v>59</v>
      </c>
      <c r="B24">
        <v>95.807780320366135</v>
      </c>
      <c r="C24">
        <v>656.12356979405035</v>
      </c>
      <c r="D24">
        <v>3939.8514970059882</v>
      </c>
      <c r="E24">
        <v>1822.5437125748499</v>
      </c>
      <c r="F24">
        <v>0.97625969544588531</v>
      </c>
      <c r="G24">
        <v>0.73529179391637323</v>
      </c>
      <c r="H24">
        <f t="shared" si="2"/>
        <v>4035.6592773263542</v>
      </c>
      <c r="I24">
        <f t="shared" si="2"/>
        <v>2478.6672823689005</v>
      </c>
      <c r="J24">
        <f t="shared" si="1"/>
        <v>1.6281569156266156</v>
      </c>
      <c r="K24" s="11">
        <v>0.73529179391637323</v>
      </c>
      <c r="L24" s="11">
        <v>0.97625969544588531</v>
      </c>
    </row>
    <row r="25" spans="1:12" x14ac:dyDescent="0.2">
      <c r="A25" s="9" t="s">
        <v>60</v>
      </c>
      <c r="B25">
        <v>101.9232673267327</v>
      </c>
      <c r="C25">
        <v>1029.90099009901</v>
      </c>
      <c r="D25">
        <v>2588.8429561200919</v>
      </c>
      <c r="E25">
        <v>1591.2263279445731</v>
      </c>
      <c r="F25">
        <v>0.96212109902428811</v>
      </c>
      <c r="G25">
        <v>0.60707708358564927</v>
      </c>
      <c r="H25">
        <f t="shared" si="2"/>
        <v>2690.7662234468248</v>
      </c>
      <c r="I25">
        <f t="shared" si="2"/>
        <v>2621.1273180435828</v>
      </c>
      <c r="J25">
        <f t="shared" si="1"/>
        <v>1.0265683032349686</v>
      </c>
      <c r="K25" s="11">
        <v>0.60707708358564927</v>
      </c>
      <c r="L25" s="11">
        <v>0.96212109902428811</v>
      </c>
    </row>
    <row r="26" spans="1:12" x14ac:dyDescent="0.2">
      <c r="A26" s="9" t="s">
        <v>61</v>
      </c>
      <c r="B26">
        <v>158.9227053140097</v>
      </c>
      <c r="C26">
        <v>553.70048309178742</v>
      </c>
      <c r="D26">
        <v>4055.187776793623</v>
      </c>
      <c r="E26">
        <v>2296.645704162976</v>
      </c>
      <c r="F26">
        <v>0.96228795946647161</v>
      </c>
      <c r="G26">
        <v>0.80574272501787958</v>
      </c>
      <c r="H26">
        <f t="shared" si="2"/>
        <v>4214.1104821076324</v>
      </c>
      <c r="I26">
        <f t="shared" si="2"/>
        <v>2850.3461872547632</v>
      </c>
      <c r="J26">
        <f t="shared" si="1"/>
        <v>1.4784556700343627</v>
      </c>
      <c r="K26" s="11">
        <v>0.80574272501787958</v>
      </c>
      <c r="L26" s="11">
        <v>0.96228795946647161</v>
      </c>
    </row>
    <row r="27" spans="1:12" x14ac:dyDescent="0.2">
      <c r="A27" s="9" t="s">
        <v>62</v>
      </c>
      <c r="B27">
        <v>119.5460385438972</v>
      </c>
      <c r="C27">
        <v>1056.464668094218</v>
      </c>
      <c r="D27">
        <v>3648.3088803088799</v>
      </c>
      <c r="E27">
        <v>1690.299871299871</v>
      </c>
      <c r="F27">
        <v>0.96827212270150353</v>
      </c>
      <c r="G27">
        <v>0.61537851062863047</v>
      </c>
      <c r="H27">
        <f t="shared" si="2"/>
        <v>3767.8549188527772</v>
      </c>
      <c r="I27">
        <f t="shared" si="2"/>
        <v>2746.7645393940893</v>
      </c>
      <c r="J27">
        <f t="shared" si="1"/>
        <v>1.3717429596946562</v>
      </c>
      <c r="K27" s="11">
        <v>0.61537851062863047</v>
      </c>
      <c r="L27" s="11">
        <v>0.96827212270150353</v>
      </c>
    </row>
    <row r="28" spans="1:12" x14ac:dyDescent="0.2">
      <c r="A28" s="9" t="s">
        <v>63</v>
      </c>
      <c r="B28">
        <v>100.4281842818428</v>
      </c>
      <c r="C28">
        <v>1187.1084010840109</v>
      </c>
      <c r="D28">
        <v>2695.373791621912</v>
      </c>
      <c r="E28">
        <v>1614.0375939849621</v>
      </c>
      <c r="F28">
        <v>0.9640789350793062</v>
      </c>
      <c r="G28">
        <v>0.57620616591432594</v>
      </c>
      <c r="H28">
        <f t="shared" ref="H28:I31" si="3">B28+D28</f>
        <v>2795.8019759037547</v>
      </c>
      <c r="I28">
        <f t="shared" si="3"/>
        <v>2801.1459950689732</v>
      </c>
      <c r="J28">
        <f t="shared" si="1"/>
        <v>0.99809220255758679</v>
      </c>
      <c r="K28" s="11">
        <v>0.57620616591432594</v>
      </c>
      <c r="L28" s="11">
        <v>0.9640789350793062</v>
      </c>
    </row>
    <row r="29" spans="1:12" x14ac:dyDescent="0.2">
      <c r="A29" s="9" t="s">
        <v>64</v>
      </c>
      <c r="B29">
        <v>60.990234375</v>
      </c>
      <c r="C29">
        <v>1345.7109375</v>
      </c>
      <c r="D29">
        <v>1759.3830935251799</v>
      </c>
      <c r="E29">
        <v>1532.2284172661871</v>
      </c>
      <c r="F29">
        <v>0.96649575477720662</v>
      </c>
      <c r="G29">
        <v>0.53240469252023903</v>
      </c>
      <c r="H29">
        <f t="shared" si="3"/>
        <v>1820.3733279001799</v>
      </c>
      <c r="I29">
        <f t="shared" si="3"/>
        <v>2877.9393547661871</v>
      </c>
      <c r="J29">
        <f t="shared" si="1"/>
        <v>0.63252664615237275</v>
      </c>
      <c r="K29" s="11">
        <v>0.53240469252023903</v>
      </c>
      <c r="L29" s="11">
        <v>0.96649575477720662</v>
      </c>
    </row>
    <row r="30" spans="1:12" x14ac:dyDescent="0.2">
      <c r="A30" s="9" t="s">
        <v>65</v>
      </c>
      <c r="B30">
        <v>52.303097345132741</v>
      </c>
      <c r="C30">
        <v>895.5353982300885</v>
      </c>
      <c r="D30">
        <v>517.95259391771015</v>
      </c>
      <c r="E30">
        <v>563.06887298747768</v>
      </c>
      <c r="F30">
        <v>0.90828132336688039</v>
      </c>
      <c r="G30">
        <v>0.3860326505951181</v>
      </c>
      <c r="H30">
        <f t="shared" si="3"/>
        <v>570.2556912628429</v>
      </c>
      <c r="I30">
        <f t="shared" si="3"/>
        <v>1458.6042712175663</v>
      </c>
      <c r="J30">
        <f t="shared" si="1"/>
        <v>0.39095983915282478</v>
      </c>
      <c r="K30" s="11">
        <v>0.3860326505951181</v>
      </c>
      <c r="L30" s="11">
        <v>0.90828132336688039</v>
      </c>
    </row>
    <row r="31" spans="1:12" x14ac:dyDescent="0.2">
      <c r="A31" s="9" t="s">
        <v>66</v>
      </c>
      <c r="B31">
        <v>65.084134615384613</v>
      </c>
      <c r="C31">
        <v>814.95432692307691</v>
      </c>
      <c r="D31">
        <v>389.30681818181819</v>
      </c>
      <c r="E31">
        <v>344.79632867132869</v>
      </c>
      <c r="F31">
        <v>0.85676621813279807</v>
      </c>
      <c r="G31">
        <v>0.29730212007908768</v>
      </c>
      <c r="H31">
        <f t="shared" si="3"/>
        <v>454.39095279720277</v>
      </c>
      <c r="I31">
        <f t="shared" si="3"/>
        <v>1159.7506555944055</v>
      </c>
      <c r="J31">
        <f t="shared" si="1"/>
        <v>0.39180055696050831</v>
      </c>
      <c r="K31" s="11">
        <v>0.29730212007908768</v>
      </c>
      <c r="L31" s="11">
        <v>0.85676621813279807</v>
      </c>
    </row>
    <row r="32" spans="1:12" x14ac:dyDescent="0.2">
      <c r="A32" s="9" t="s">
        <v>67</v>
      </c>
      <c r="B32">
        <v>173.6720647773279</v>
      </c>
      <c r="C32">
        <v>816.65587044534414</v>
      </c>
      <c r="D32">
        <v>3925.8438948995358</v>
      </c>
      <c r="E32">
        <v>1541.740340030912</v>
      </c>
      <c r="F32">
        <v>0.95763595837031024</v>
      </c>
      <c r="G32">
        <v>0.65372405755332008</v>
      </c>
      <c r="H32">
        <f t="shared" ref="H32:I41" si="4">D32+B32</f>
        <v>4099.5159596768635</v>
      </c>
      <c r="I32">
        <f t="shared" si="4"/>
        <v>2358.3962104762559</v>
      </c>
      <c r="J32">
        <f t="shared" si="1"/>
        <v>1.7382643092226666</v>
      </c>
      <c r="K32" s="11">
        <v>0.65372405755332008</v>
      </c>
      <c r="L32" s="11">
        <v>0.95763595837031024</v>
      </c>
    </row>
    <row r="33" spans="1:12" x14ac:dyDescent="0.2">
      <c r="A33" s="9" t="s">
        <v>68</v>
      </c>
      <c r="B33">
        <v>85.892491467576789</v>
      </c>
      <c r="C33">
        <v>1878.559726962457</v>
      </c>
      <c r="D33">
        <v>3144.507007921999</v>
      </c>
      <c r="E33">
        <v>2625.3662400975008</v>
      </c>
      <c r="F33">
        <v>0.97341118598990395</v>
      </c>
      <c r="G33">
        <v>0.58290617103799103</v>
      </c>
      <c r="H33">
        <f t="shared" si="4"/>
        <v>3230.3994993895758</v>
      </c>
      <c r="I33">
        <f t="shared" si="4"/>
        <v>4503.9259670599577</v>
      </c>
      <c r="J33">
        <f t="shared" si="1"/>
        <v>0.71724080791192357</v>
      </c>
      <c r="K33" s="11">
        <v>0.58290617103799103</v>
      </c>
      <c r="L33" s="11">
        <v>0.97341118598990395</v>
      </c>
    </row>
    <row r="34" spans="1:12" x14ac:dyDescent="0.2">
      <c r="A34" s="9" t="s">
        <v>69</v>
      </c>
      <c r="B34">
        <v>102.9875930521092</v>
      </c>
      <c r="C34">
        <v>670.85856079404471</v>
      </c>
      <c r="D34">
        <v>3833.0061823802162</v>
      </c>
      <c r="E34">
        <v>1517.8578052550231</v>
      </c>
      <c r="F34">
        <v>0.97383441160528839</v>
      </c>
      <c r="G34">
        <v>0.69349223535755067</v>
      </c>
      <c r="H34">
        <f t="shared" si="4"/>
        <v>3935.9937754323255</v>
      </c>
      <c r="I34">
        <f t="shared" si="4"/>
        <v>2188.7163660490678</v>
      </c>
      <c r="J34">
        <f t="shared" si="1"/>
        <v>1.7983114836105203</v>
      </c>
      <c r="K34" s="11">
        <v>0.69349223535755067</v>
      </c>
      <c r="L34" s="11">
        <v>0.97383441160528839</v>
      </c>
    </row>
    <row r="35" spans="1:12" x14ac:dyDescent="0.2">
      <c r="A35" s="9" t="s">
        <v>70</v>
      </c>
      <c r="B35">
        <v>81.799043062200951</v>
      </c>
      <c r="C35">
        <v>674.86363636363637</v>
      </c>
      <c r="D35">
        <v>2964.6861313868608</v>
      </c>
      <c r="E35">
        <v>1345.3284671532849</v>
      </c>
      <c r="F35">
        <v>0.97314969928353789</v>
      </c>
      <c r="G35">
        <v>0.66594086018414944</v>
      </c>
      <c r="H35">
        <f t="shared" si="4"/>
        <v>3046.4851744490616</v>
      </c>
      <c r="I35">
        <f t="shared" si="4"/>
        <v>2020.1921035169212</v>
      </c>
      <c r="J35">
        <f t="shared" si="1"/>
        <v>1.5080175638472613</v>
      </c>
      <c r="K35" s="11">
        <v>0.66594086018414944</v>
      </c>
      <c r="L35" s="11">
        <v>0.97314969928353789</v>
      </c>
    </row>
    <row r="36" spans="1:12" x14ac:dyDescent="0.2">
      <c r="A36" s="9" t="s">
        <v>71</v>
      </c>
      <c r="B36">
        <v>89.176363636363632</v>
      </c>
      <c r="C36">
        <v>1695.870909090909</v>
      </c>
      <c r="D36">
        <v>2986.012362637362</v>
      </c>
      <c r="E36">
        <v>1724.311813186813</v>
      </c>
      <c r="F36">
        <v>0.97100133631654517</v>
      </c>
      <c r="G36">
        <v>0.50415780477321459</v>
      </c>
      <c r="H36">
        <f t="shared" si="4"/>
        <v>3075.1887262737255</v>
      </c>
      <c r="I36">
        <f t="shared" si="4"/>
        <v>3420.182722277722</v>
      </c>
      <c r="J36">
        <f t="shared" si="1"/>
        <v>0.89912995181314681</v>
      </c>
      <c r="K36" s="11">
        <v>0.50415780477321459</v>
      </c>
      <c r="L36" s="11">
        <v>0.97100133631654517</v>
      </c>
    </row>
    <row r="37" spans="1:12" x14ac:dyDescent="0.2">
      <c r="A37" s="9" t="s">
        <v>72</v>
      </c>
      <c r="B37">
        <v>117.14503816793891</v>
      </c>
      <c r="C37">
        <v>2408.3740458015268</v>
      </c>
      <c r="D37">
        <v>3910.217028380634</v>
      </c>
      <c r="E37">
        <v>2670.1427378964941</v>
      </c>
      <c r="F37">
        <v>0.97091271253187039</v>
      </c>
      <c r="G37">
        <v>0.52577215979035863</v>
      </c>
      <c r="H37">
        <f t="shared" si="4"/>
        <v>4027.3620665485728</v>
      </c>
      <c r="I37">
        <f t="shared" si="4"/>
        <v>5078.5167836980208</v>
      </c>
      <c r="J37">
        <f t="shared" si="1"/>
        <v>0.7930193475930527</v>
      </c>
      <c r="K37" s="11">
        <v>0.52577215979035863</v>
      </c>
      <c r="L37" s="11">
        <v>0.97091271253187039</v>
      </c>
    </row>
    <row r="38" spans="1:12" x14ac:dyDescent="0.2">
      <c r="A38" s="9" t="s">
        <v>73</v>
      </c>
      <c r="B38">
        <v>62.800821355236138</v>
      </c>
      <c r="C38">
        <v>578.56262833675567</v>
      </c>
      <c r="D38">
        <v>1970.8167938931299</v>
      </c>
      <c r="E38">
        <v>1195.761450381679</v>
      </c>
      <c r="F38">
        <v>0.9691186676962541</v>
      </c>
      <c r="G38">
        <v>0.67392505389734558</v>
      </c>
      <c r="H38">
        <f t="shared" si="4"/>
        <v>2033.6176152483661</v>
      </c>
      <c r="I38">
        <f t="shared" si="4"/>
        <v>1774.3240787184345</v>
      </c>
      <c r="J38">
        <f t="shared" si="1"/>
        <v>1.1461365145409146</v>
      </c>
      <c r="K38" s="11">
        <v>0.67392505389734558</v>
      </c>
      <c r="L38" s="11">
        <v>0.9691186676962541</v>
      </c>
    </row>
    <row r="39" spans="1:12" x14ac:dyDescent="0.2">
      <c r="A39" s="9" t="s">
        <v>74</v>
      </c>
      <c r="B39">
        <v>44.587037037037042</v>
      </c>
      <c r="C39">
        <v>817.77592592592589</v>
      </c>
      <c r="D39">
        <v>504.25755494505489</v>
      </c>
      <c r="E39">
        <v>609.57211538461536</v>
      </c>
      <c r="F39">
        <v>0.91876199986590767</v>
      </c>
      <c r="G39">
        <v>0.42706620792005823</v>
      </c>
      <c r="H39">
        <f t="shared" si="4"/>
        <v>548.84459198209197</v>
      </c>
      <c r="I39">
        <f t="shared" si="4"/>
        <v>1427.3480413105412</v>
      </c>
      <c r="J39">
        <f t="shared" si="1"/>
        <v>0.38452050663001713</v>
      </c>
      <c r="K39" s="11">
        <v>0.42706620792005823</v>
      </c>
      <c r="L39" s="11">
        <v>0.91876199986590767</v>
      </c>
    </row>
    <row r="40" spans="1:12" x14ac:dyDescent="0.2">
      <c r="A40" s="9" t="s">
        <v>75</v>
      </c>
      <c r="B40">
        <v>78.685300207039333</v>
      </c>
      <c r="C40">
        <v>1055.120082815735</v>
      </c>
      <c r="D40">
        <v>2225.8552223371248</v>
      </c>
      <c r="E40">
        <v>832.97828335056874</v>
      </c>
      <c r="F40">
        <v>0.96585640415635987</v>
      </c>
      <c r="G40">
        <v>0.44117313921620122</v>
      </c>
      <c r="H40">
        <f t="shared" si="4"/>
        <v>2304.5405225441641</v>
      </c>
      <c r="I40">
        <f t="shared" si="4"/>
        <v>1888.0983661663038</v>
      </c>
      <c r="J40">
        <f t="shared" si="1"/>
        <v>1.2205616846242109</v>
      </c>
      <c r="K40" s="11">
        <v>0.44117313921620122</v>
      </c>
      <c r="L40" s="11">
        <v>0.96585640415635987</v>
      </c>
    </row>
    <row r="41" spans="1:12" x14ac:dyDescent="0.2">
      <c r="A41" s="9" t="s">
        <v>76</v>
      </c>
      <c r="B41">
        <v>61.575452716297789</v>
      </c>
      <c r="C41">
        <v>681.40241448692154</v>
      </c>
      <c r="D41">
        <v>1532.0322580645161</v>
      </c>
      <c r="E41">
        <v>949.46826222684706</v>
      </c>
      <c r="F41">
        <v>0.96136097215159189</v>
      </c>
      <c r="G41">
        <v>0.58218488797655077</v>
      </c>
      <c r="H41">
        <f t="shared" si="4"/>
        <v>1593.6077107808139</v>
      </c>
      <c r="I41">
        <f t="shared" si="4"/>
        <v>1630.8706767137687</v>
      </c>
      <c r="J41">
        <f t="shared" si="1"/>
        <v>0.97715148940684848</v>
      </c>
      <c r="K41" s="11">
        <v>0.58218488797655077</v>
      </c>
      <c r="L41" s="11">
        <v>0.96136097215159189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784E6-F48A-4F48-8EA2-4949DC355989}">
  <dimension ref="A1:L41"/>
  <sheetViews>
    <sheetView workbookViewId="0">
      <selection activeCell="H1" sqref="H1:L1048576"/>
    </sheetView>
  </sheetViews>
  <sheetFormatPr baseColWidth="10" defaultRowHeight="16" x14ac:dyDescent="0.2"/>
  <sheetData>
    <row r="1" spans="1:12" s="1" customFormat="1" ht="68" x14ac:dyDescent="0.2">
      <c r="B1" s="12" t="s">
        <v>121</v>
      </c>
      <c r="C1" s="12" t="s">
        <v>122</v>
      </c>
      <c r="D1" s="12" t="s">
        <v>123</v>
      </c>
      <c r="E1" s="12" t="s">
        <v>124</v>
      </c>
      <c r="F1" s="12" t="s">
        <v>120</v>
      </c>
      <c r="G1" s="12" t="s">
        <v>119</v>
      </c>
      <c r="H1" s="6" t="s">
        <v>116</v>
      </c>
      <c r="I1" s="6" t="s">
        <v>117</v>
      </c>
      <c r="J1" s="1" t="s">
        <v>118</v>
      </c>
      <c r="K1" s="10" t="s">
        <v>119</v>
      </c>
      <c r="L1" s="10" t="s">
        <v>120</v>
      </c>
    </row>
    <row r="2" spans="1:12" ht="15" x14ac:dyDescent="0.2">
      <c r="A2" s="9" t="s">
        <v>77</v>
      </c>
      <c r="B2">
        <v>74.535211267605632</v>
      </c>
      <c r="C2">
        <v>812.32159624413146</v>
      </c>
      <c r="D2">
        <v>1866.7204724409451</v>
      </c>
      <c r="E2">
        <v>170.4992125984252</v>
      </c>
      <c r="F2">
        <v>0.96160463977356425</v>
      </c>
      <c r="G2">
        <v>0.17347944921843669</v>
      </c>
      <c r="H2">
        <f t="shared" ref="H2:I17" si="0">B2+D2</f>
        <v>1941.2556837085508</v>
      </c>
      <c r="I2">
        <f t="shared" si="0"/>
        <v>982.82080884255663</v>
      </c>
      <c r="J2">
        <f t="shared" ref="J2:J41" si="1">H2/I2</f>
        <v>1.9751878127150349</v>
      </c>
      <c r="K2" s="11">
        <v>0.17347944921843669</v>
      </c>
      <c r="L2" s="11">
        <v>0.96160463977356425</v>
      </c>
    </row>
    <row r="3" spans="1:12" x14ac:dyDescent="0.2">
      <c r="A3" s="9" t="s">
        <v>78</v>
      </c>
      <c r="B3">
        <v>113.3333333333333</v>
      </c>
      <c r="C3">
        <v>1522.725623582767</v>
      </c>
      <c r="D3">
        <v>4072.7662682602918</v>
      </c>
      <c r="E3">
        <v>466.21115537848613</v>
      </c>
      <c r="F3">
        <v>0.97292626929130221</v>
      </c>
      <c r="G3">
        <v>0.23440219936099271</v>
      </c>
      <c r="H3">
        <f t="shared" si="0"/>
        <v>4186.0996015936253</v>
      </c>
      <c r="I3">
        <f t="shared" si="0"/>
        <v>1988.9367789612531</v>
      </c>
      <c r="J3">
        <f t="shared" si="1"/>
        <v>2.1046921379672345</v>
      </c>
      <c r="K3" s="11">
        <v>0.23440219936099271</v>
      </c>
      <c r="L3" s="11">
        <v>0.97292626929130221</v>
      </c>
    </row>
    <row r="4" spans="1:12" x14ac:dyDescent="0.2">
      <c r="A4" s="9" t="s">
        <v>79</v>
      </c>
      <c r="B4">
        <v>180.78393351800551</v>
      </c>
      <c r="C4">
        <v>1804.174515235457</v>
      </c>
      <c r="D4">
        <v>4078.2309468822168</v>
      </c>
      <c r="E4">
        <v>464.46189376443419</v>
      </c>
      <c r="F4">
        <v>0.95755264102270121</v>
      </c>
      <c r="G4">
        <v>0.20473174631327909</v>
      </c>
      <c r="H4">
        <f t="shared" si="0"/>
        <v>4259.014880400222</v>
      </c>
      <c r="I4">
        <f t="shared" si="0"/>
        <v>2268.636408999891</v>
      </c>
      <c r="J4">
        <f t="shared" si="1"/>
        <v>1.877345732222367</v>
      </c>
      <c r="K4" s="11">
        <v>0.20473174631327909</v>
      </c>
      <c r="L4" s="11">
        <v>0.95755264102270121</v>
      </c>
    </row>
    <row r="5" spans="1:12" x14ac:dyDescent="0.2">
      <c r="A5" s="9" t="s">
        <v>80</v>
      </c>
      <c r="B5">
        <v>270.19399538106228</v>
      </c>
      <c r="C5">
        <v>1370.685912240185</v>
      </c>
      <c r="D5">
        <v>4060.5480769230771</v>
      </c>
      <c r="E5">
        <v>341.03485576923077</v>
      </c>
      <c r="F5">
        <v>0.93761023148688516</v>
      </c>
      <c r="G5">
        <v>0.1992350984710112</v>
      </c>
      <c r="H5">
        <f t="shared" si="0"/>
        <v>4330.7420723041396</v>
      </c>
      <c r="I5">
        <f t="shared" si="0"/>
        <v>1711.7207680094157</v>
      </c>
      <c r="J5">
        <f t="shared" si="1"/>
        <v>2.5300517194404439</v>
      </c>
      <c r="K5" s="11">
        <v>0.1992350984710112</v>
      </c>
      <c r="L5" s="11">
        <v>0.93761023148688516</v>
      </c>
    </row>
    <row r="6" spans="1:12" x14ac:dyDescent="0.2">
      <c r="A6" s="9" t="s">
        <v>81</v>
      </c>
      <c r="B6">
        <v>62.014150943396217</v>
      </c>
      <c r="C6">
        <v>1311.3301886792451</v>
      </c>
      <c r="D6">
        <v>1147.1593406593411</v>
      </c>
      <c r="E6">
        <v>353.8598901098901</v>
      </c>
      <c r="F6">
        <v>0.94871360365236113</v>
      </c>
      <c r="G6">
        <v>0.21250420274375159</v>
      </c>
      <c r="H6">
        <f t="shared" si="0"/>
        <v>1209.1734916027374</v>
      </c>
      <c r="I6">
        <f t="shared" si="0"/>
        <v>1665.1900787891352</v>
      </c>
      <c r="J6">
        <f t="shared" si="1"/>
        <v>0.72614742725467341</v>
      </c>
      <c r="K6" s="11">
        <v>0.21250420274375159</v>
      </c>
      <c r="L6" s="11">
        <v>0.94871360365236113</v>
      </c>
    </row>
    <row r="7" spans="1:12" x14ac:dyDescent="0.2">
      <c r="A7" s="9" t="s">
        <v>82</v>
      </c>
      <c r="B7">
        <v>48.962962962962962</v>
      </c>
      <c r="C7">
        <v>1189.2136752136751</v>
      </c>
      <c r="D7">
        <v>801.36982643524698</v>
      </c>
      <c r="E7">
        <v>371.90654205607478</v>
      </c>
      <c r="F7">
        <v>0.9424190580753512</v>
      </c>
      <c r="G7">
        <v>0.23823055901902529</v>
      </c>
      <c r="H7">
        <f t="shared" si="0"/>
        <v>850.33278939820991</v>
      </c>
      <c r="I7">
        <f t="shared" si="0"/>
        <v>1561.1202172697499</v>
      </c>
      <c r="J7">
        <f t="shared" si="1"/>
        <v>0.54469398319967999</v>
      </c>
      <c r="K7" s="11">
        <v>0.23823055901902529</v>
      </c>
      <c r="L7" s="11">
        <v>0.9424190580753512</v>
      </c>
    </row>
    <row r="8" spans="1:12" x14ac:dyDescent="0.2">
      <c r="A8" s="9" t="s">
        <v>83</v>
      </c>
      <c r="B8">
        <v>61.253968253968253</v>
      </c>
      <c r="C8">
        <v>2670.0238095238101</v>
      </c>
      <c r="D8">
        <v>1634.9059829059829</v>
      </c>
      <c r="E8">
        <v>511.26495726495727</v>
      </c>
      <c r="F8">
        <v>0.96388667931224381</v>
      </c>
      <c r="G8">
        <v>0.16071001243343111</v>
      </c>
      <c r="H8">
        <f t="shared" si="0"/>
        <v>1696.1599511599511</v>
      </c>
      <c r="I8">
        <f t="shared" si="0"/>
        <v>3181.2887667887671</v>
      </c>
      <c r="J8">
        <f t="shared" si="1"/>
        <v>0.53316755425257301</v>
      </c>
      <c r="K8" s="11">
        <v>0.16071001243343111</v>
      </c>
      <c r="L8" s="11">
        <v>0.96388667931224381</v>
      </c>
    </row>
    <row r="9" spans="1:12" x14ac:dyDescent="0.2">
      <c r="A9" s="9" t="s">
        <v>84</v>
      </c>
      <c r="B9">
        <v>56.562231759656648</v>
      </c>
      <c r="C9">
        <v>1652.032188841202</v>
      </c>
      <c r="D9">
        <v>1493.6448326055311</v>
      </c>
      <c r="E9">
        <v>368.80349344978168</v>
      </c>
      <c r="F9">
        <v>0.96351311185462896</v>
      </c>
      <c r="G9">
        <v>0.18250048565634791</v>
      </c>
      <c r="H9">
        <f t="shared" si="0"/>
        <v>1550.2070643651878</v>
      </c>
      <c r="I9">
        <f t="shared" si="0"/>
        <v>2020.8356822909836</v>
      </c>
      <c r="J9">
        <f t="shared" si="1"/>
        <v>0.7671118824504064</v>
      </c>
      <c r="K9" s="11">
        <v>0.18250048565634791</v>
      </c>
      <c r="L9" s="11">
        <v>0.96351311185462896</v>
      </c>
    </row>
    <row r="10" spans="1:12" x14ac:dyDescent="0.2">
      <c r="A10" s="9" t="s">
        <v>85</v>
      </c>
      <c r="B10">
        <v>77.975143403441677</v>
      </c>
      <c r="C10">
        <v>1540.439770554493</v>
      </c>
      <c r="D10">
        <v>2130.2307046979872</v>
      </c>
      <c r="E10">
        <v>326.82885906040269</v>
      </c>
      <c r="F10">
        <v>0.9646884625948785</v>
      </c>
      <c r="G10">
        <v>0.17503044493807379</v>
      </c>
      <c r="H10">
        <f t="shared" si="0"/>
        <v>2208.2058481014287</v>
      </c>
      <c r="I10">
        <f t="shared" si="0"/>
        <v>1867.2686296148956</v>
      </c>
      <c r="J10">
        <f t="shared" si="1"/>
        <v>1.1825860580953731</v>
      </c>
      <c r="K10" s="11">
        <v>0.17503044493807379</v>
      </c>
      <c r="L10" s="11">
        <v>0.9646884625948785</v>
      </c>
    </row>
    <row r="11" spans="1:12" x14ac:dyDescent="0.2">
      <c r="A11" s="9" t="s">
        <v>86</v>
      </c>
      <c r="B11">
        <v>63.405353728489487</v>
      </c>
      <c r="C11">
        <v>832.84703632887192</v>
      </c>
      <c r="D11">
        <v>1527.8652766639941</v>
      </c>
      <c r="E11">
        <v>185.85966319165999</v>
      </c>
      <c r="F11">
        <v>0.96015426130698422</v>
      </c>
      <c r="G11">
        <v>0.18244668782401979</v>
      </c>
      <c r="H11">
        <f t="shared" si="0"/>
        <v>1591.2706303924836</v>
      </c>
      <c r="I11">
        <f t="shared" si="0"/>
        <v>1018.7066995205319</v>
      </c>
      <c r="J11">
        <f t="shared" si="1"/>
        <v>1.5620498335207147</v>
      </c>
      <c r="K11" s="11">
        <v>0.18244668782401979</v>
      </c>
      <c r="L11" s="11">
        <v>0.96015426130698422</v>
      </c>
    </row>
    <row r="12" spans="1:12" x14ac:dyDescent="0.2">
      <c r="A12" s="9" t="s">
        <v>87</v>
      </c>
      <c r="B12">
        <v>464.78536585365862</v>
      </c>
      <c r="C12">
        <v>2016.363414634146</v>
      </c>
      <c r="D12">
        <v>4095</v>
      </c>
      <c r="E12">
        <v>4070.6256572029438</v>
      </c>
      <c r="F12">
        <v>0.89806858688256608</v>
      </c>
      <c r="G12">
        <v>0.66874206757437216</v>
      </c>
      <c r="H12">
        <f t="shared" si="0"/>
        <v>4559.7853658536587</v>
      </c>
      <c r="I12">
        <f t="shared" si="0"/>
        <v>6086.9890718370898</v>
      </c>
      <c r="J12">
        <f t="shared" si="1"/>
        <v>0.74910358997531246</v>
      </c>
      <c r="K12" s="11">
        <v>0.66874206757437216</v>
      </c>
      <c r="L12" s="11">
        <v>0.89806858688256608</v>
      </c>
    </row>
    <row r="13" spans="1:12" x14ac:dyDescent="0.2">
      <c r="A13" s="9" t="s">
        <v>16</v>
      </c>
      <c r="B13">
        <v>188.85573122529641</v>
      </c>
      <c r="C13">
        <v>2054.418972332016</v>
      </c>
      <c r="D13">
        <v>4095</v>
      </c>
      <c r="E13">
        <v>4059.9286384976531</v>
      </c>
      <c r="F13">
        <v>0.95591454449581137</v>
      </c>
      <c r="G13">
        <v>0.66400029846303621</v>
      </c>
      <c r="H13">
        <f t="shared" si="0"/>
        <v>4283.855731225296</v>
      </c>
      <c r="I13">
        <f t="shared" si="0"/>
        <v>6114.3476108296691</v>
      </c>
      <c r="J13">
        <f t="shared" si="1"/>
        <v>0.70062351764851827</v>
      </c>
      <c r="K13" s="11">
        <v>0.66400029846303621</v>
      </c>
      <c r="L13" s="11">
        <v>0.95591454449581137</v>
      </c>
    </row>
    <row r="14" spans="1:12" x14ac:dyDescent="0.2">
      <c r="A14" s="9" t="s">
        <v>11</v>
      </c>
      <c r="B14">
        <v>181.46713615023481</v>
      </c>
      <c r="C14">
        <v>1388.4084507042251</v>
      </c>
      <c r="D14">
        <v>4093.3503325942352</v>
      </c>
      <c r="E14">
        <v>3252.2549889135262</v>
      </c>
      <c r="F14">
        <v>0.9575497345846834</v>
      </c>
      <c r="G14">
        <v>0.70081681880843583</v>
      </c>
      <c r="H14">
        <f t="shared" si="0"/>
        <v>4274.8174687444698</v>
      </c>
      <c r="I14">
        <f t="shared" si="0"/>
        <v>4640.6634396177515</v>
      </c>
      <c r="J14">
        <f t="shared" si="1"/>
        <v>0.92116515760440143</v>
      </c>
      <c r="K14" s="11">
        <v>0.70081681880843583</v>
      </c>
      <c r="L14" s="11">
        <v>0.9575497345846834</v>
      </c>
    </row>
    <row r="15" spans="1:12" x14ac:dyDescent="0.2">
      <c r="A15" s="9" t="s">
        <v>88</v>
      </c>
      <c r="B15">
        <v>88.853932584269657</v>
      </c>
      <c r="C15">
        <v>1708.1235955056179</v>
      </c>
      <c r="D15">
        <v>3396.6718938480099</v>
      </c>
      <c r="E15">
        <v>755.6501809408926</v>
      </c>
      <c r="F15">
        <v>0.97450773943189539</v>
      </c>
      <c r="G15">
        <v>0.30670436878777207</v>
      </c>
      <c r="H15">
        <f t="shared" si="0"/>
        <v>3485.5258264322797</v>
      </c>
      <c r="I15">
        <f t="shared" si="0"/>
        <v>2463.7737764465105</v>
      </c>
      <c r="J15">
        <f t="shared" si="1"/>
        <v>1.4147101733745366</v>
      </c>
      <c r="K15" s="11">
        <v>0.30670436878777207</v>
      </c>
      <c r="L15" s="11">
        <v>0.97450773943189539</v>
      </c>
    </row>
    <row r="16" spans="1:12" x14ac:dyDescent="0.2">
      <c r="A16" s="9" t="s">
        <v>89</v>
      </c>
      <c r="B16">
        <v>107.6030927835052</v>
      </c>
      <c r="C16">
        <v>1824.6881443298971</v>
      </c>
      <c r="D16">
        <v>3490.3139896373059</v>
      </c>
      <c r="E16">
        <v>857.39274611398969</v>
      </c>
      <c r="F16">
        <v>0.97009294813678537</v>
      </c>
      <c r="G16">
        <v>0.3196744547000186</v>
      </c>
      <c r="H16">
        <f t="shared" si="0"/>
        <v>3597.9170824208113</v>
      </c>
      <c r="I16">
        <f t="shared" si="0"/>
        <v>2682.0808904438868</v>
      </c>
      <c r="J16">
        <f t="shared" si="1"/>
        <v>1.3414647914759024</v>
      </c>
      <c r="K16" s="11">
        <v>0.3196744547000186</v>
      </c>
      <c r="L16" s="11">
        <v>0.97009294813678537</v>
      </c>
    </row>
    <row r="17" spans="1:12" x14ac:dyDescent="0.2">
      <c r="A17" s="9" t="s">
        <v>90</v>
      </c>
      <c r="B17">
        <v>68.039024390243895</v>
      </c>
      <c r="C17">
        <v>1614.9804878048781</v>
      </c>
      <c r="D17">
        <v>866.29071332436069</v>
      </c>
      <c r="E17">
        <v>518.58681022880216</v>
      </c>
      <c r="F17">
        <v>0.92717878748388216</v>
      </c>
      <c r="G17">
        <v>0.24306091057298149</v>
      </c>
      <c r="H17">
        <f t="shared" si="0"/>
        <v>934.32973771460456</v>
      </c>
      <c r="I17">
        <f t="shared" si="0"/>
        <v>2133.5672980336803</v>
      </c>
      <c r="J17">
        <f t="shared" si="1"/>
        <v>0.4379190375554094</v>
      </c>
      <c r="K17" s="11">
        <v>0.24306091057298149</v>
      </c>
      <c r="L17" s="11">
        <v>0.92717878748388216</v>
      </c>
    </row>
    <row r="18" spans="1:12" x14ac:dyDescent="0.2">
      <c r="A18" s="9" t="s">
        <v>91</v>
      </c>
      <c r="B18">
        <v>73.974293059125969</v>
      </c>
      <c r="C18">
        <v>823.17223650385608</v>
      </c>
      <c r="D18">
        <v>2141.5661434977578</v>
      </c>
      <c r="E18">
        <v>385.56278026905829</v>
      </c>
      <c r="F18">
        <v>0.96661117448432243</v>
      </c>
      <c r="G18">
        <v>0.31898040093058228</v>
      </c>
      <c r="H18">
        <f t="shared" ref="H18:I33" si="2">B18+D18</f>
        <v>2215.5404365568838</v>
      </c>
      <c r="I18">
        <f t="shared" si="2"/>
        <v>1208.7350167729144</v>
      </c>
      <c r="J18">
        <f t="shared" si="1"/>
        <v>1.8329413856743744</v>
      </c>
      <c r="K18" s="11">
        <v>0.31898040093058228</v>
      </c>
      <c r="L18" s="11">
        <v>0.96661117448432243</v>
      </c>
    </row>
    <row r="19" spans="1:12" x14ac:dyDescent="0.2">
      <c r="A19" s="9" t="s">
        <v>92</v>
      </c>
      <c r="B19">
        <v>116.41489361702131</v>
      </c>
      <c r="C19">
        <v>1594.239361702128</v>
      </c>
      <c r="D19">
        <v>4092.5705812574138</v>
      </c>
      <c r="E19">
        <v>2020.251482799526</v>
      </c>
      <c r="F19">
        <v>0.972341341087547</v>
      </c>
      <c r="G19">
        <v>0.55893113849568132</v>
      </c>
      <c r="H19">
        <f t="shared" si="2"/>
        <v>4208.9854748744347</v>
      </c>
      <c r="I19">
        <f t="shared" si="2"/>
        <v>3614.490844501654</v>
      </c>
      <c r="J19">
        <f t="shared" si="1"/>
        <v>1.1644753454769772</v>
      </c>
      <c r="K19" s="11">
        <v>0.55893113849568132</v>
      </c>
      <c r="L19" s="11">
        <v>0.972341341087547</v>
      </c>
    </row>
    <row r="20" spans="1:12" x14ac:dyDescent="0.2">
      <c r="A20" s="9" t="s">
        <v>15</v>
      </c>
      <c r="B20">
        <v>98.474387527839639</v>
      </c>
      <c r="C20">
        <v>967.97104677060133</v>
      </c>
      <c r="D20">
        <v>4001.6331775700928</v>
      </c>
      <c r="E20">
        <v>513.54088785046724</v>
      </c>
      <c r="F20">
        <v>0.97598248680934607</v>
      </c>
      <c r="G20">
        <v>0.34663297395698489</v>
      </c>
      <c r="H20">
        <f t="shared" si="2"/>
        <v>4100.1075650979328</v>
      </c>
      <c r="I20">
        <f t="shared" si="2"/>
        <v>1481.5119346210686</v>
      </c>
      <c r="J20">
        <f t="shared" si="1"/>
        <v>2.7675157177499425</v>
      </c>
      <c r="K20" s="11">
        <v>0.34663297395698489</v>
      </c>
      <c r="L20" s="11">
        <v>0.97598248680934607</v>
      </c>
    </row>
    <row r="21" spans="1:12" x14ac:dyDescent="0.2">
      <c r="A21" s="9" t="s">
        <v>93</v>
      </c>
      <c r="B21">
        <v>74.260663507109001</v>
      </c>
      <c r="C21">
        <v>1293.345971563981</v>
      </c>
      <c r="D21">
        <v>988.54482758620691</v>
      </c>
      <c r="E21">
        <v>357.93379310344829</v>
      </c>
      <c r="F21">
        <v>0.9301277005722689</v>
      </c>
      <c r="G21">
        <v>0.21676144815808171</v>
      </c>
      <c r="H21">
        <f t="shared" si="2"/>
        <v>1062.8054910933158</v>
      </c>
      <c r="I21">
        <f t="shared" si="2"/>
        <v>1651.2797646674294</v>
      </c>
      <c r="J21">
        <f t="shared" si="1"/>
        <v>0.64362533462484883</v>
      </c>
      <c r="K21" s="11">
        <v>0.21676144815808171</v>
      </c>
      <c r="L21" s="11">
        <v>0.9301277005722689</v>
      </c>
    </row>
    <row r="22" spans="1:12" x14ac:dyDescent="0.2">
      <c r="A22" s="9" t="s">
        <v>94</v>
      </c>
      <c r="B22">
        <v>150.52742616033751</v>
      </c>
      <c r="C22">
        <v>754.78481012658233</v>
      </c>
      <c r="D22">
        <v>4095</v>
      </c>
      <c r="E22">
        <v>3952.4476093591052</v>
      </c>
      <c r="F22">
        <v>0.96454446973235675</v>
      </c>
      <c r="G22">
        <v>0.83965422930847111</v>
      </c>
      <c r="H22">
        <f t="shared" si="2"/>
        <v>4245.5274261603372</v>
      </c>
      <c r="I22">
        <f t="shared" si="2"/>
        <v>4707.2324194856874</v>
      </c>
      <c r="J22">
        <f t="shared" si="1"/>
        <v>0.90191582820212723</v>
      </c>
      <c r="K22" s="11">
        <v>0.83965422930847111</v>
      </c>
      <c r="L22" s="11">
        <v>0.96454446973235675</v>
      </c>
    </row>
    <row r="23" spans="1:12" ht="14" customHeight="1" x14ac:dyDescent="0.2">
      <c r="A23" s="9" t="s">
        <v>95</v>
      </c>
      <c r="B23">
        <v>186.98636363636359</v>
      </c>
      <c r="C23">
        <v>1126.8</v>
      </c>
      <c r="D23">
        <v>4079.614740368509</v>
      </c>
      <c r="E23">
        <v>3782.3015075376879</v>
      </c>
      <c r="F23">
        <v>0.95617439758761436</v>
      </c>
      <c r="G23">
        <v>0.7704671622149486</v>
      </c>
      <c r="H23">
        <f t="shared" si="2"/>
        <v>4266.6011040048725</v>
      </c>
      <c r="I23">
        <f t="shared" si="2"/>
        <v>4909.1015075376881</v>
      </c>
      <c r="J23">
        <f t="shared" si="1"/>
        <v>0.8691205707304509</v>
      </c>
      <c r="K23" s="11">
        <v>0.7704671622149486</v>
      </c>
      <c r="L23" s="11">
        <v>0.95617439758761436</v>
      </c>
    </row>
    <row r="24" spans="1:12" x14ac:dyDescent="0.2">
      <c r="A24" s="9" t="s">
        <v>96</v>
      </c>
      <c r="B24">
        <v>446.89870689655169</v>
      </c>
      <c r="C24">
        <v>709.07974137931035</v>
      </c>
      <c r="D24">
        <v>4095</v>
      </c>
      <c r="E24">
        <v>4095</v>
      </c>
      <c r="F24">
        <v>0.90160531184502912</v>
      </c>
      <c r="G24">
        <v>0.8524005054970788</v>
      </c>
      <c r="H24">
        <f t="shared" si="2"/>
        <v>4541.8987068965516</v>
      </c>
      <c r="I24">
        <f t="shared" si="2"/>
        <v>4804.0797413793107</v>
      </c>
      <c r="J24">
        <f t="shared" si="1"/>
        <v>0.94542533667280804</v>
      </c>
      <c r="K24" s="11">
        <v>0.8524005054970788</v>
      </c>
      <c r="L24" s="11">
        <v>0.90160531184502912</v>
      </c>
    </row>
    <row r="25" spans="1:12" x14ac:dyDescent="0.2">
      <c r="A25" s="9" t="s">
        <v>97</v>
      </c>
      <c r="B25">
        <v>68.891534391534393</v>
      </c>
      <c r="C25">
        <v>784.30423280423281</v>
      </c>
      <c r="D25">
        <v>714.49116997792498</v>
      </c>
      <c r="E25">
        <v>506.24282560706399</v>
      </c>
      <c r="F25">
        <v>0.91205890300196912</v>
      </c>
      <c r="G25">
        <v>0.39226994653745101</v>
      </c>
      <c r="H25">
        <f t="shared" si="2"/>
        <v>783.38270436945936</v>
      </c>
      <c r="I25">
        <f t="shared" si="2"/>
        <v>1290.5470584112968</v>
      </c>
      <c r="J25">
        <f t="shared" si="1"/>
        <v>0.60701599315086396</v>
      </c>
      <c r="K25" s="11">
        <v>0.39226994653745101</v>
      </c>
      <c r="L25" s="11">
        <v>0.91205890300196912</v>
      </c>
    </row>
    <row r="26" spans="1:12" x14ac:dyDescent="0.2">
      <c r="A26" s="9" t="s">
        <v>98</v>
      </c>
      <c r="B26">
        <v>193.29111111111109</v>
      </c>
      <c r="C26">
        <v>947.12888888888892</v>
      </c>
      <c r="D26">
        <v>4068.4779161947899</v>
      </c>
      <c r="E26">
        <v>3866.067950169876</v>
      </c>
      <c r="F26">
        <v>0.95464533392761053</v>
      </c>
      <c r="G26">
        <v>0.80322249005006352</v>
      </c>
      <c r="H26">
        <f t="shared" si="2"/>
        <v>4261.7690273059006</v>
      </c>
      <c r="I26">
        <f t="shared" si="2"/>
        <v>4813.1968390587645</v>
      </c>
      <c r="J26">
        <f t="shared" si="1"/>
        <v>0.88543418642718608</v>
      </c>
      <c r="K26" s="11">
        <v>0.80322249005006352</v>
      </c>
      <c r="L26" s="11">
        <v>0.95464533392761053</v>
      </c>
    </row>
    <row r="27" spans="1:12" x14ac:dyDescent="0.2">
      <c r="A27" s="9" t="s">
        <v>99</v>
      </c>
      <c r="B27">
        <v>109.6367713004484</v>
      </c>
      <c r="C27">
        <v>1213.7219730941699</v>
      </c>
      <c r="D27">
        <v>3469.9814651368051</v>
      </c>
      <c r="E27">
        <v>2040.8984995586941</v>
      </c>
      <c r="F27">
        <v>0.96937193743610817</v>
      </c>
      <c r="G27">
        <v>0.62707726344975112</v>
      </c>
      <c r="H27">
        <f t="shared" si="2"/>
        <v>3579.6182364372535</v>
      </c>
      <c r="I27">
        <f t="shared" si="2"/>
        <v>3254.620472652864</v>
      </c>
      <c r="J27">
        <f t="shared" si="1"/>
        <v>1.0998573463527321</v>
      </c>
      <c r="K27" s="11">
        <v>0.62707726344975112</v>
      </c>
      <c r="L27" s="11">
        <v>0.96937193743610817</v>
      </c>
    </row>
    <row r="28" spans="1:12" x14ac:dyDescent="0.2">
      <c r="A28" s="9" t="s">
        <v>100</v>
      </c>
      <c r="B28">
        <v>124.22458628841611</v>
      </c>
      <c r="C28">
        <v>771.11820330969272</v>
      </c>
      <c r="D28">
        <v>3739.062074829932</v>
      </c>
      <c r="E28">
        <v>1373.458333333333</v>
      </c>
      <c r="F28">
        <v>0.96784484373405122</v>
      </c>
      <c r="G28">
        <v>0.64043334889938286</v>
      </c>
      <c r="H28">
        <f t="shared" si="2"/>
        <v>3863.2866611183481</v>
      </c>
      <c r="I28">
        <f t="shared" si="2"/>
        <v>2144.576536643026</v>
      </c>
      <c r="J28">
        <f t="shared" si="1"/>
        <v>1.8014216770111986</v>
      </c>
      <c r="K28" s="11">
        <v>0.64043334889938286</v>
      </c>
      <c r="L28" s="11">
        <v>0.96784484373405122</v>
      </c>
    </row>
    <row r="29" spans="1:12" x14ac:dyDescent="0.2">
      <c r="A29" s="9" t="s">
        <v>101</v>
      </c>
      <c r="B29">
        <v>99.280098280098287</v>
      </c>
      <c r="C29">
        <v>1409.523341523342</v>
      </c>
      <c r="D29">
        <v>3322.142995169082</v>
      </c>
      <c r="E29">
        <v>2848.2144927536228</v>
      </c>
      <c r="F29">
        <v>0.9709828058183787</v>
      </c>
      <c r="G29">
        <v>0.66895018049820776</v>
      </c>
      <c r="H29">
        <f t="shared" si="2"/>
        <v>3421.4230934491802</v>
      </c>
      <c r="I29">
        <f t="shared" si="2"/>
        <v>4257.7378342769643</v>
      </c>
      <c r="J29">
        <f t="shared" si="1"/>
        <v>0.80357768059484003</v>
      </c>
      <c r="K29" s="11">
        <v>0.66895018049820776</v>
      </c>
      <c r="L29" s="11">
        <v>0.9709828058183787</v>
      </c>
    </row>
    <row r="30" spans="1:12" x14ac:dyDescent="0.2">
      <c r="A30" s="9" t="s">
        <v>102</v>
      </c>
      <c r="B30">
        <v>51.463636363636361</v>
      </c>
      <c r="C30">
        <v>706.75454545454545</v>
      </c>
      <c r="D30">
        <v>442.67852760736201</v>
      </c>
      <c r="E30">
        <v>562.4453987730061</v>
      </c>
      <c r="F30">
        <v>0.89585257013878949</v>
      </c>
      <c r="G30">
        <v>0.44314956152579749</v>
      </c>
      <c r="H30">
        <f t="shared" si="2"/>
        <v>494.14216397099835</v>
      </c>
      <c r="I30">
        <f t="shared" si="2"/>
        <v>1269.1999442275514</v>
      </c>
      <c r="J30">
        <f t="shared" si="1"/>
        <v>0.38933358468727203</v>
      </c>
      <c r="K30" s="11">
        <v>0.44314956152579749</v>
      </c>
      <c r="L30" s="11">
        <v>0.89585257013878949</v>
      </c>
    </row>
    <row r="31" spans="1:12" x14ac:dyDescent="0.2">
      <c r="A31" s="9" t="s">
        <v>103</v>
      </c>
      <c r="B31">
        <v>44.313174946004317</v>
      </c>
      <c r="C31">
        <v>513.46004319654423</v>
      </c>
      <c r="D31">
        <v>202.8557213930348</v>
      </c>
      <c r="E31">
        <v>299.82089552238813</v>
      </c>
      <c r="F31">
        <v>0.82071702547386716</v>
      </c>
      <c r="G31">
        <v>0.36865599726788312</v>
      </c>
      <c r="H31">
        <f t="shared" si="2"/>
        <v>247.16889633903912</v>
      </c>
      <c r="I31">
        <f t="shared" si="2"/>
        <v>813.28093871893236</v>
      </c>
      <c r="J31">
        <f t="shared" si="1"/>
        <v>0.3039157621576325</v>
      </c>
      <c r="K31" s="11">
        <v>0.36865599726788312</v>
      </c>
      <c r="L31" s="11">
        <v>0.82071702547386716</v>
      </c>
    </row>
    <row r="32" spans="1:12" x14ac:dyDescent="0.2">
      <c r="A32" s="9" t="s">
        <v>104</v>
      </c>
      <c r="B32">
        <v>205.10229645093949</v>
      </c>
      <c r="C32">
        <v>841.9478079331941</v>
      </c>
      <c r="D32">
        <v>4074.7096466093599</v>
      </c>
      <c r="E32">
        <v>2152.6217765042979</v>
      </c>
      <c r="F32">
        <v>0.95207679702293646</v>
      </c>
      <c r="G32">
        <v>0.71884179539232584</v>
      </c>
      <c r="H32">
        <f t="shared" si="2"/>
        <v>4279.8119430602992</v>
      </c>
      <c r="I32">
        <f t="shared" si="2"/>
        <v>2994.5695844374923</v>
      </c>
      <c r="J32">
        <f t="shared" si="1"/>
        <v>1.4291910147294942</v>
      </c>
      <c r="K32" s="11">
        <v>0.71884179539232584</v>
      </c>
      <c r="L32" s="11">
        <v>0.95207679702293646</v>
      </c>
    </row>
    <row r="33" spans="1:12" x14ac:dyDescent="0.2">
      <c r="A33" s="9" t="s">
        <v>105</v>
      </c>
      <c r="B33">
        <v>121.74162679425839</v>
      </c>
      <c r="C33">
        <v>693.63875598086122</v>
      </c>
      <c r="D33">
        <v>3599.355661881978</v>
      </c>
      <c r="E33">
        <v>1795.6076555023919</v>
      </c>
      <c r="F33">
        <v>0.9672834066540712</v>
      </c>
      <c r="G33">
        <v>0.72134588493087493</v>
      </c>
      <c r="H33">
        <f t="shared" si="2"/>
        <v>3721.0972886762365</v>
      </c>
      <c r="I33">
        <f t="shared" si="2"/>
        <v>2489.2464114832533</v>
      </c>
      <c r="J33">
        <f t="shared" si="1"/>
        <v>1.4948689979064658</v>
      </c>
      <c r="K33" s="11">
        <v>0.72134588493087493</v>
      </c>
      <c r="L33" s="11">
        <v>0.9672834066540712</v>
      </c>
    </row>
    <row r="34" spans="1:12" x14ac:dyDescent="0.2">
      <c r="A34" s="9" t="s">
        <v>70</v>
      </c>
      <c r="B34">
        <v>63.251865671641788</v>
      </c>
      <c r="C34">
        <v>654.77238805970148</v>
      </c>
      <c r="D34">
        <v>2807.169427710844</v>
      </c>
      <c r="E34">
        <v>1666.548945783132</v>
      </c>
      <c r="F34">
        <v>0.97796425708746526</v>
      </c>
      <c r="G34">
        <v>0.71793117199515077</v>
      </c>
      <c r="H34">
        <f t="shared" ref="H34:I41" si="3">B34+D34</f>
        <v>2870.4212933824861</v>
      </c>
      <c r="I34">
        <f t="shared" si="3"/>
        <v>2321.3213338428336</v>
      </c>
      <c r="J34">
        <f t="shared" si="1"/>
        <v>1.2365462943601369</v>
      </c>
      <c r="K34" s="11">
        <v>0.71793117199515077</v>
      </c>
      <c r="L34" s="11">
        <v>0.97796425708746526</v>
      </c>
    </row>
    <row r="35" spans="1:12" x14ac:dyDescent="0.2">
      <c r="A35" s="9" t="s">
        <v>106</v>
      </c>
      <c r="B35">
        <v>112.4071729957806</v>
      </c>
      <c r="C35">
        <v>1443.1118143459919</v>
      </c>
      <c r="D35">
        <v>4039.493292053663</v>
      </c>
      <c r="E35">
        <v>2112.9050567595459</v>
      </c>
      <c r="F35">
        <v>0.97292633242486892</v>
      </c>
      <c r="G35">
        <v>0.59417745566056901</v>
      </c>
      <c r="H35">
        <f t="shared" si="3"/>
        <v>4151.9004650494435</v>
      </c>
      <c r="I35">
        <f t="shared" si="3"/>
        <v>3556.0168711055376</v>
      </c>
      <c r="J35">
        <f t="shared" si="1"/>
        <v>1.1675705193599519</v>
      </c>
      <c r="K35" s="11">
        <v>0.59417745566056901</v>
      </c>
      <c r="L35" s="11">
        <v>0.97292633242486892</v>
      </c>
    </row>
    <row r="36" spans="1:12" x14ac:dyDescent="0.2">
      <c r="A36" s="9" t="s">
        <v>107</v>
      </c>
      <c r="B36">
        <v>64.101239669421489</v>
      </c>
      <c r="C36">
        <v>725.4566115702479</v>
      </c>
      <c r="D36">
        <v>755.23048327137542</v>
      </c>
      <c r="E36">
        <v>385.02602230483268</v>
      </c>
      <c r="F36">
        <v>0.92176399634650386</v>
      </c>
      <c r="G36">
        <v>0.34671953487581031</v>
      </c>
      <c r="H36">
        <f t="shared" si="3"/>
        <v>819.33172294079691</v>
      </c>
      <c r="I36">
        <f t="shared" si="3"/>
        <v>1110.4826338750806</v>
      </c>
      <c r="J36">
        <f t="shared" si="1"/>
        <v>0.73781588108379581</v>
      </c>
      <c r="K36" s="11">
        <v>0.34671953487581031</v>
      </c>
      <c r="L36" s="11">
        <v>0.92176399634650386</v>
      </c>
    </row>
    <row r="37" spans="1:12" x14ac:dyDescent="0.2">
      <c r="A37" s="9" t="s">
        <v>108</v>
      </c>
      <c r="B37">
        <v>72.47081712062257</v>
      </c>
      <c r="C37">
        <v>716.50389105058366</v>
      </c>
      <c r="D37">
        <v>1273.4441687344911</v>
      </c>
      <c r="E37">
        <v>480.20678246484698</v>
      </c>
      <c r="F37">
        <v>0.94615498164278267</v>
      </c>
      <c r="G37">
        <v>0.40127224824877861</v>
      </c>
      <c r="H37">
        <f t="shared" si="3"/>
        <v>1345.9149858551136</v>
      </c>
      <c r="I37">
        <f t="shared" si="3"/>
        <v>1196.7106735154307</v>
      </c>
      <c r="J37">
        <f t="shared" si="1"/>
        <v>1.1246786843651888</v>
      </c>
      <c r="K37" s="11">
        <v>0.40127224824877861</v>
      </c>
      <c r="L37" s="11">
        <v>0.94615498164278267</v>
      </c>
    </row>
    <row r="38" spans="1:12" x14ac:dyDescent="0.2">
      <c r="A38" s="9" t="s">
        <v>109</v>
      </c>
      <c r="B38">
        <v>146.281746031746</v>
      </c>
      <c r="C38">
        <v>1918.4464285714289</v>
      </c>
      <c r="D38">
        <v>3850.448873483535</v>
      </c>
      <c r="E38">
        <v>1769.3422876949739</v>
      </c>
      <c r="F38">
        <v>0.96339964837322789</v>
      </c>
      <c r="G38">
        <v>0.47978407219768671</v>
      </c>
      <c r="H38">
        <f t="shared" si="3"/>
        <v>3996.730619515281</v>
      </c>
      <c r="I38">
        <f t="shared" si="3"/>
        <v>3687.7887162664028</v>
      </c>
      <c r="J38">
        <f t="shared" si="1"/>
        <v>1.0837742959313725</v>
      </c>
      <c r="K38" s="11">
        <v>0.47978407219768671</v>
      </c>
      <c r="L38" s="11">
        <v>0.96339964837322789</v>
      </c>
    </row>
    <row r="39" spans="1:12" x14ac:dyDescent="0.2">
      <c r="A39" s="9" t="s">
        <v>110</v>
      </c>
      <c r="B39">
        <v>172.2842639593909</v>
      </c>
      <c r="C39">
        <v>1819.9314720812181</v>
      </c>
      <c r="D39">
        <v>3807.8830347734461</v>
      </c>
      <c r="E39">
        <v>1102.40990516333</v>
      </c>
      <c r="F39">
        <v>0.95671431600017387</v>
      </c>
      <c r="G39">
        <v>0.37723515594293189</v>
      </c>
      <c r="H39">
        <f t="shared" si="3"/>
        <v>3980.167298732837</v>
      </c>
      <c r="I39">
        <f t="shared" si="3"/>
        <v>2922.3413772445483</v>
      </c>
      <c r="J39">
        <f t="shared" si="1"/>
        <v>1.3619789014812855</v>
      </c>
      <c r="K39" s="11">
        <v>0.37723515594293189</v>
      </c>
      <c r="L39" s="11">
        <v>0.95671431600017387</v>
      </c>
    </row>
    <row r="40" spans="1:12" x14ac:dyDescent="0.2">
      <c r="A40" s="9" t="s">
        <v>111</v>
      </c>
      <c r="B40">
        <v>52.7035175879397</v>
      </c>
      <c r="C40">
        <v>748.53015075376879</v>
      </c>
      <c r="D40">
        <v>577.64642262895177</v>
      </c>
      <c r="E40">
        <v>330.38352745424288</v>
      </c>
      <c r="F40">
        <v>0.91639006490616082</v>
      </c>
      <c r="G40">
        <v>0.30621868470792141</v>
      </c>
      <c r="H40">
        <f t="shared" si="3"/>
        <v>630.34994021689147</v>
      </c>
      <c r="I40">
        <f t="shared" si="3"/>
        <v>1078.9136782080118</v>
      </c>
      <c r="J40">
        <f t="shared" si="1"/>
        <v>0.58424501695432363</v>
      </c>
      <c r="K40" s="11">
        <v>0.30621868470792141</v>
      </c>
      <c r="L40" s="11">
        <v>0.91639006490616082</v>
      </c>
    </row>
    <row r="41" spans="1:12" x14ac:dyDescent="0.2">
      <c r="A41" s="9" t="s">
        <v>112</v>
      </c>
      <c r="B41">
        <v>85.394973070017954</v>
      </c>
      <c r="C41">
        <v>1288.51526032316</v>
      </c>
      <c r="D41">
        <v>1734.9419613075379</v>
      </c>
      <c r="E41">
        <v>1021.783855903936</v>
      </c>
      <c r="F41">
        <v>0.95308836981917433</v>
      </c>
      <c r="G41">
        <v>0.44227340465445503</v>
      </c>
      <c r="H41">
        <f t="shared" si="3"/>
        <v>1820.3369343775557</v>
      </c>
      <c r="I41">
        <f t="shared" si="3"/>
        <v>2310.299116227096</v>
      </c>
      <c r="J41">
        <f t="shared" si="1"/>
        <v>0.78792262075151209</v>
      </c>
      <c r="K41" s="11">
        <v>0.44227340465445503</v>
      </c>
      <c r="L41" s="11">
        <v>0.95308836981917433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RI combined</vt:lpstr>
      <vt:lpstr>R2 Combined</vt:lpstr>
      <vt:lpstr>R3 combined</vt:lpstr>
      <vt:lpstr>R1 from pipeline</vt:lpstr>
      <vt:lpstr>R2 from pipeline</vt:lpstr>
      <vt:lpstr>R3 from pipeline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Ng</dc:creator>
  <cp:lastModifiedBy>Christine Ng</cp:lastModifiedBy>
  <dcterms:created xsi:type="dcterms:W3CDTF">2024-01-06T05:39:28Z</dcterms:created>
  <dcterms:modified xsi:type="dcterms:W3CDTF">2025-12-23T02:02:53Z</dcterms:modified>
</cp:coreProperties>
</file>