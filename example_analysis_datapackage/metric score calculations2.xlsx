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"/>
    </mc:Choice>
  </mc:AlternateContent>
  <xr:revisionPtr revIDLastSave="0" documentId="13_ncr:1_{AFB427D6-0FD3-194F-B21A-4BF0CD7F0A98}" xr6:coauthVersionLast="47" xr6:coauthVersionMax="47" xr10:uidLastSave="{00000000-0000-0000-0000-000000000000}"/>
  <bookViews>
    <workbookView xWindow="40640" yWindow="500" windowWidth="23200" windowHeight="18940" activeTab="3" xr2:uid="{138A75E6-DC9F-4641-9962-F235577FCBD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F5" i="1" l="1"/>
  <c r="D2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H14" i="1" s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G9" i="1" s="1"/>
  <c r="F8" i="1"/>
  <c r="E8" i="1"/>
  <c r="D8" i="1"/>
  <c r="F7" i="1"/>
  <c r="E7" i="1"/>
  <c r="D7" i="1"/>
  <c r="F6" i="1"/>
  <c r="E6" i="1"/>
  <c r="D6" i="1"/>
  <c r="E5" i="1"/>
  <c r="D5" i="1"/>
  <c r="F4" i="1"/>
  <c r="E4" i="1"/>
  <c r="D4" i="1"/>
  <c r="F3" i="1"/>
  <c r="E3" i="1"/>
  <c r="D3" i="1"/>
  <c r="F2" i="1"/>
  <c r="G2" i="1" l="1"/>
  <c r="H18" i="1"/>
  <c r="H5" i="1"/>
  <c r="G5" i="1"/>
  <c r="K5" i="1" s="1"/>
  <c r="H11" i="1"/>
  <c r="H16" i="1"/>
  <c r="G21" i="1"/>
  <c r="K21" i="1" s="1"/>
  <c r="G3" i="1"/>
  <c r="H6" i="1"/>
  <c r="I11" i="1"/>
  <c r="I14" i="1"/>
  <c r="K9" i="1"/>
  <c r="I9" i="1"/>
  <c r="I18" i="1"/>
  <c r="G4" i="1"/>
  <c r="G6" i="1"/>
  <c r="K6" i="1" s="1"/>
  <c r="G7" i="1"/>
  <c r="K7" i="1" s="1"/>
  <c r="G8" i="1"/>
  <c r="G10" i="1"/>
  <c r="K10" i="1" s="1"/>
  <c r="G11" i="1"/>
  <c r="K11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22" i="1"/>
  <c r="K22" i="1" s="1"/>
  <c r="H2" i="1"/>
  <c r="H3" i="1"/>
  <c r="H4" i="1"/>
  <c r="H7" i="1"/>
  <c r="H8" i="1"/>
  <c r="H9" i="1"/>
  <c r="H10" i="1"/>
  <c r="H12" i="1"/>
  <c r="H13" i="1"/>
  <c r="H15" i="1"/>
  <c r="H17" i="1"/>
  <c r="H19" i="1"/>
  <c r="H20" i="1"/>
  <c r="H21" i="1"/>
  <c r="H22" i="1"/>
  <c r="G20" i="1"/>
  <c r="K20" i="1" s="1"/>
  <c r="K3" i="1" l="1"/>
  <c r="I6" i="1"/>
  <c r="I2" i="1"/>
  <c r="I16" i="1"/>
  <c r="I3" i="1"/>
  <c r="I12" i="1"/>
  <c r="K4" i="1"/>
  <c r="I4" i="1"/>
  <c r="K2" i="1"/>
  <c r="I22" i="1"/>
  <c r="I21" i="1"/>
  <c r="I10" i="1"/>
  <c r="I20" i="1"/>
  <c r="I19" i="1"/>
  <c r="I17" i="1"/>
  <c r="I7" i="1"/>
  <c r="K8" i="1"/>
  <c r="I8" i="1"/>
  <c r="I15" i="1"/>
  <c r="I5" i="1"/>
  <c r="I13" i="1"/>
</calcChain>
</file>

<file path=xl/sharedStrings.xml><?xml version="1.0" encoding="utf-8"?>
<sst xmlns="http://schemas.openxmlformats.org/spreadsheetml/2006/main" count="94" uniqueCount="44">
  <si>
    <t>FINAL</t>
  </si>
  <si>
    <t>delta (final-dmso)</t>
  </si>
  <si>
    <t>ABS(max delt nuc (1-dmso))</t>
  </si>
  <si>
    <t>ABS(max delt cyto(0-dmso) )</t>
  </si>
  <si>
    <t>dmso frac cyto</t>
  </si>
  <si>
    <t>complete import</t>
  </si>
  <si>
    <t>milder import</t>
  </si>
  <si>
    <t>import</t>
  </si>
  <si>
    <t>export</t>
  </si>
  <si>
    <t>milder export</t>
  </si>
  <si>
    <t>complete export</t>
  </si>
  <si>
    <t>diffuse to complete import</t>
  </si>
  <si>
    <t>diffuse to complete export</t>
  </si>
  <si>
    <t>ER MEK1</t>
  </si>
  <si>
    <t>ER HIV-1 REV</t>
  </si>
  <si>
    <t>ER IKBA N NES</t>
  </si>
  <si>
    <t>ER P53 NES</t>
  </si>
  <si>
    <t>GR MEK1</t>
  </si>
  <si>
    <t>GR HIV-1 REV</t>
  </si>
  <si>
    <t>GR IKBA N NES</t>
  </si>
  <si>
    <t>GR P53 NES</t>
  </si>
  <si>
    <t>HIV-1 REV SV40</t>
  </si>
  <si>
    <t>HIV-1 REV NMNAT1</t>
  </si>
  <si>
    <t>HIV-1 REV NPM1</t>
  </si>
  <si>
    <t>HIV-1 REV P53</t>
  </si>
  <si>
    <r>
      <rPr>
        <sz val="12"/>
        <color rgb="FFFF0000"/>
        <rFont val="Calibri (Body)"/>
      </rPr>
      <t>cyto proteins follow red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rgb="FFFFC000"/>
        <rFont val="Calibri (Body)"/>
      </rPr>
      <t>nuclear proteins follow yellow</t>
    </r>
  </si>
  <si>
    <r>
      <t>delta/max delt nuc (</t>
    </r>
    <r>
      <rPr>
        <b/>
        <sz val="12"/>
        <color theme="1"/>
        <rFont val="Aptos Narrow"/>
        <family val="2"/>
        <scheme val="minor"/>
      </rPr>
      <t>RELOCALISABILITY</t>
    </r>
    <r>
      <rPr>
        <sz val="12"/>
        <color theme="1"/>
        <rFont val="Aptos Narrow"/>
        <family val="2"/>
        <scheme val="minor"/>
      </rPr>
      <t>)</t>
    </r>
  </si>
  <si>
    <r>
      <t xml:space="preserve"> delta /max delt cyto (</t>
    </r>
    <r>
      <rPr>
        <b/>
        <sz val="12"/>
        <color theme="1"/>
        <rFont val="Aptos Narrow"/>
        <family val="2"/>
        <scheme val="minor"/>
      </rPr>
      <t>RELOCALISABILITY</t>
    </r>
    <r>
      <rPr>
        <sz val="12"/>
        <color theme="1"/>
        <rFont val="Aptos Narrow"/>
        <family val="2"/>
        <scheme val="minor"/>
      </rPr>
      <t>)</t>
    </r>
  </si>
  <si>
    <t>DMSO</t>
  </si>
  <si>
    <t>diffuse no movement</t>
  </si>
  <si>
    <r>
      <t>dmso frac nuc  - ABS(relocalisability) (</t>
    </r>
    <r>
      <rPr>
        <b/>
        <sz val="12"/>
        <color theme="1"/>
        <rFont val="Aptos Narrow"/>
        <family val="2"/>
        <scheme val="minor"/>
      </rPr>
      <t>localisation score</t>
    </r>
    <r>
      <rPr>
        <sz val="12"/>
        <color theme="1"/>
        <rFont val="Aptos Narrow"/>
        <family val="2"/>
        <scheme val="minor"/>
      </rPr>
      <t>)</t>
    </r>
  </si>
  <si>
    <r>
      <t>dmso frac cyto - ABS( relocalisability (</t>
    </r>
    <r>
      <rPr>
        <b/>
        <sz val="12"/>
        <color theme="1"/>
        <rFont val="Aptos Narrow"/>
        <family val="2"/>
        <scheme val="minor"/>
      </rPr>
      <t>localisation score</t>
    </r>
    <r>
      <rPr>
        <sz val="12"/>
        <color theme="1"/>
        <rFont val="Aptos Narrow"/>
        <family val="2"/>
        <scheme val="minor"/>
      </rPr>
      <t>)</t>
    </r>
  </si>
  <si>
    <t>cyto proteins follow red, nuclear proteins follow yellow</t>
  </si>
  <si>
    <t>delta/max delt nuc (RELOCALISABILITY)</t>
  </si>
  <si>
    <t xml:space="preserve"> delta /max delt cyto (RELOCALISABILITY)</t>
  </si>
  <si>
    <t>dmso frac nuc  - ABS(relocalisability) (localisation score)</t>
  </si>
  <si>
    <t>dmso frac cyto - ABS( relocalisability (localisation score)</t>
  </si>
  <si>
    <t>|1 - DMSO|</t>
  </si>
  <si>
    <t>|0 - DMSO|</t>
  </si>
  <si>
    <t>Cytoplasmic  protein relocalizability</t>
  </si>
  <si>
    <t>Nuclear protein relocalizabilty</t>
  </si>
  <si>
    <t>Nuclear protein localization score</t>
  </si>
  <si>
    <t>Final</t>
  </si>
  <si>
    <t>Cytoplasmic protein localization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</si>
</sst>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Calibri (Body)"/>
    </font>
    <font>
      <sz val="12"/>
      <color theme="1"/>
      <name val="Calibri"/>
      <family val="2"/>
    </font>
    <font>
      <sz val="12"/>
      <color rgb="FFFFC000"/>
      <name val="Calibri (Body)"/>
    </font>
    <font>
      <sz val="12"/>
      <color rgb="FF757171"/>
      <name val="Calibri"/>
      <family val="2"/>
    </font>
    <font>
      <sz val="12"/>
      <color theme="1"/>
      <name val="Arial"/>
      <family val="2"/>
    </font>
    <font>
      <sz val="12"/>
      <color rgb="FF75717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C0C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D7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 style="thin">
        <color theme="1" tint="0.24997711111789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 style="thin">
        <color theme="1" tint="0.249977111117893"/>
      </right>
      <top/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0" xfId="0" applyFont="1"/>
    <xf numFmtId="0" fontId="3" fillId="0" borderId="0" xfId="0" applyFont="1"/>
    <xf numFmtId="0" fontId="3" fillId="5" borderId="0" xfId="0" applyFont="1" applyFill="1"/>
    <xf numFmtId="0" fontId="3" fillId="6" borderId="0" xfId="0" applyFont="1" applyFill="1" applyAlignment="1">
      <alignment wrapText="1"/>
    </xf>
    <xf numFmtId="0" fontId="3" fillId="6" borderId="0" xfId="0" applyFont="1" applyFill="1"/>
    <xf numFmtId="0" fontId="3" fillId="7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5" fillId="0" borderId="0" xfId="0" applyFont="1" applyFill="1"/>
    <xf numFmtId="0" fontId="3" fillId="0" borderId="0" xfId="0" applyFont="1" applyFill="1"/>
    <xf numFmtId="0" fontId="0" fillId="0" borderId="0" xfId="0" applyFill="1"/>
    <xf numFmtId="0" fontId="5" fillId="8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0" borderId="0" xfId="0" applyFont="1" applyFill="1" applyBorder="1"/>
    <xf numFmtId="0" fontId="5" fillId="0" borderId="3" xfId="0" applyFont="1" applyFill="1" applyBorder="1"/>
    <xf numFmtId="0" fontId="3" fillId="3" borderId="3" xfId="0" applyFont="1" applyFill="1" applyBorder="1"/>
    <xf numFmtId="0" fontId="0" fillId="0" borderId="3" xfId="0" applyBorder="1"/>
    <xf numFmtId="0" fontId="3" fillId="4" borderId="4" xfId="0" applyFont="1" applyFill="1" applyBorder="1" applyAlignment="1">
      <alignment wrapText="1"/>
    </xf>
    <xf numFmtId="0" fontId="5" fillId="0" borderId="2" xfId="0" applyFont="1" applyFill="1" applyBorder="1"/>
    <xf numFmtId="0" fontId="3" fillId="4" borderId="2" xfId="0" applyFont="1" applyFill="1" applyBorder="1"/>
    <xf numFmtId="0" fontId="0" fillId="0" borderId="2" xfId="0" applyBorder="1"/>
    <xf numFmtId="0" fontId="0" fillId="0" borderId="1" xfId="0" applyFill="1" applyBorder="1"/>
    <xf numFmtId="0" fontId="0" fillId="0" borderId="5" xfId="0" applyFill="1" applyBorder="1"/>
    <xf numFmtId="0" fontId="5" fillId="0" borderId="7" xfId="0" applyFont="1" applyFill="1" applyBorder="1"/>
    <xf numFmtId="0" fontId="3" fillId="3" borderId="9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5" fillId="0" borderId="10" xfId="0" applyFont="1" applyFill="1" applyBorder="1"/>
    <xf numFmtId="0" fontId="5" fillId="0" borderId="5" xfId="0" applyFont="1" applyFill="1" applyBorder="1" applyAlignment="1">
      <alignment wrapText="1"/>
    </xf>
    <xf numFmtId="0" fontId="5" fillId="0" borderId="11" xfId="0" applyFont="1" applyFill="1" applyBorder="1"/>
    <xf numFmtId="0" fontId="5" fillId="0" borderId="6" xfId="0" applyFont="1" applyFill="1" applyBorder="1"/>
    <xf numFmtId="0" fontId="5" fillId="0" borderId="5" xfId="0" applyFont="1" applyFill="1" applyBorder="1"/>
    <xf numFmtId="0" fontId="3" fillId="0" borderId="5" xfId="0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8" borderId="0" xfId="0" applyFont="1" applyFill="1" applyAlignment="1">
      <alignment wrapText="1"/>
    </xf>
    <xf numFmtId="0" fontId="7" fillId="0" borderId="7" xfId="0" applyFont="1" applyFill="1" applyBorder="1"/>
    <xf numFmtId="0" fontId="7" fillId="0" borderId="0" xfId="0" applyFont="1" applyFill="1" applyBorder="1"/>
    <xf numFmtId="0" fontId="7" fillId="0" borderId="2" xfId="0" applyFont="1" applyFill="1" applyBorder="1"/>
    <xf numFmtId="0" fontId="7" fillId="0" borderId="0" xfId="0" applyFont="1" applyFill="1"/>
    <xf numFmtId="0" fontId="6" fillId="0" borderId="0" xfId="0" applyFont="1" applyFill="1"/>
    <xf numFmtId="0" fontId="7" fillId="0" borderId="10" xfId="0" applyFont="1" applyFill="1" applyBorder="1"/>
    <xf numFmtId="0" fontId="7" fillId="0" borderId="3" xfId="0" applyFont="1" applyFill="1" applyBorder="1"/>
    <xf numFmtId="0" fontId="7" fillId="9" borderId="0" xfId="0" applyFont="1" applyFill="1" applyAlignment="1">
      <alignment wrapText="1"/>
    </xf>
    <xf numFmtId="0" fontId="7" fillId="0" borderId="0" xfId="0" applyFont="1" applyFill="1" applyAlignment="1">
      <alignment wrapText="1"/>
    </xf>
    <xf numFmtId="0" fontId="7" fillId="0" borderId="5" xfId="0" applyFont="1" applyFill="1" applyBorder="1" applyAlignment="1">
      <alignment wrapText="1"/>
    </xf>
    <xf numFmtId="0" fontId="7" fillId="0" borderId="11" xfId="0" applyFont="1" applyFill="1" applyBorder="1"/>
    <xf numFmtId="0" fontId="7" fillId="0" borderId="6" xfId="0" applyFont="1" applyFill="1" applyBorder="1"/>
    <xf numFmtId="0" fontId="7" fillId="0" borderId="5" xfId="0" applyFont="1" applyFill="1" applyBorder="1"/>
    <xf numFmtId="0" fontId="6" fillId="0" borderId="5" xfId="0" applyFont="1" applyFill="1" applyBorder="1"/>
    <xf numFmtId="0" fontId="6" fillId="6" borderId="0" xfId="0" applyFont="1" applyFill="1" applyAlignment="1">
      <alignment wrapText="1"/>
    </xf>
    <xf numFmtId="0" fontId="6" fillId="3" borderId="3" xfId="0" applyFont="1" applyFill="1" applyBorder="1"/>
    <xf numFmtId="0" fontId="6" fillId="4" borderId="2" xfId="0" applyFont="1" applyFill="1" applyBorder="1"/>
    <xf numFmtId="0" fontId="7" fillId="0" borderId="0" xfId="0" applyFont="1"/>
    <xf numFmtId="0" fontId="6" fillId="0" borderId="0" xfId="0" applyFont="1"/>
    <xf numFmtId="0" fontId="6" fillId="5" borderId="0" xfId="0" applyFont="1" applyFill="1"/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2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F0BF-0739-8940-A782-CC43B782B5B1}">
  <dimension ref="A1:L22"/>
  <sheetViews>
    <sheetView zoomScale="111" workbookViewId="0">
      <selection activeCell="E3" sqref="E3"/>
    </sheetView>
  </sheetViews>
  <sheetFormatPr baseColWidth="10" defaultRowHeight="16" x14ac:dyDescent="0.2"/>
  <cols>
    <col min="1" max="1" width="16.83203125" customWidth="1"/>
    <col min="2" max="3" width="10.83203125" style="19"/>
    <col min="4" max="4" width="10.83203125" style="23"/>
    <col min="7" max="7" width="15.5" customWidth="1"/>
    <col min="8" max="8" width="14" customWidth="1"/>
    <col min="9" max="9" width="15.5" customWidth="1"/>
    <col min="11" max="11" width="13.1640625" customWidth="1"/>
  </cols>
  <sheetData>
    <row r="1" spans="1:12" s="35" customFormat="1" ht="79" customHeight="1" x14ac:dyDescent="0.2">
      <c r="A1" s="3" t="s">
        <v>25</v>
      </c>
      <c r="B1" s="28" t="s">
        <v>28</v>
      </c>
      <c r="C1" s="27" t="s">
        <v>0</v>
      </c>
      <c r="D1" s="20" t="s">
        <v>1</v>
      </c>
      <c r="E1" s="3" t="s">
        <v>2</v>
      </c>
      <c r="F1" s="3" t="s">
        <v>3</v>
      </c>
      <c r="G1" s="1" t="s">
        <v>26</v>
      </c>
      <c r="H1" s="1" t="s">
        <v>27</v>
      </c>
      <c r="I1" s="1" t="s">
        <v>30</v>
      </c>
      <c r="J1" s="1" t="s">
        <v>4</v>
      </c>
      <c r="K1" s="2" t="s">
        <v>31</v>
      </c>
    </row>
    <row r="2" spans="1:12" s="13" customFormat="1" ht="19" customHeight="1" x14ac:dyDescent="0.2">
      <c r="A2" s="14" t="s">
        <v>5</v>
      </c>
      <c r="B2" s="26">
        <v>1E-3</v>
      </c>
      <c r="C2" s="16">
        <v>0.999</v>
      </c>
      <c r="D2" s="21">
        <f>C2-B2</f>
        <v>0.998</v>
      </c>
      <c r="E2" s="11">
        <f>ABS(1-B2)</f>
        <v>0.999</v>
      </c>
      <c r="F2" s="11">
        <f>ABS(0-B2)</f>
        <v>1E-3</v>
      </c>
      <c r="G2" s="11">
        <f>D2/E2</f>
        <v>0.99899899899899902</v>
      </c>
      <c r="H2" s="11">
        <f>D2/F2</f>
        <v>998</v>
      </c>
      <c r="I2" s="12">
        <f>B2-ABS(G2)</f>
        <v>-0.99799899899899902</v>
      </c>
      <c r="J2" s="12">
        <f>1-B2</f>
        <v>0.999</v>
      </c>
      <c r="K2" s="12">
        <f>J2-ABS(G2)</f>
        <v>1.0010010009775527E-6</v>
      </c>
    </row>
    <row r="3" spans="1:12" s="13" customFormat="1" ht="18" customHeight="1" x14ac:dyDescent="0.2">
      <c r="A3" s="14" t="s">
        <v>6</v>
      </c>
      <c r="B3" s="29">
        <v>0.3</v>
      </c>
      <c r="C3" s="16">
        <v>0.6</v>
      </c>
      <c r="D3" s="21">
        <f>C3-B3</f>
        <v>0.3</v>
      </c>
      <c r="E3" s="11">
        <f t="shared" ref="E3:E22" si="0">ABS(1-B3)</f>
        <v>0.7</v>
      </c>
      <c r="F3" s="11">
        <f t="shared" ref="F3:F22" si="1">ABS(0-B3)</f>
        <v>0.3</v>
      </c>
      <c r="G3" s="11">
        <f>D3/E3</f>
        <v>0.4285714285714286</v>
      </c>
      <c r="H3" s="11">
        <f>D3/F3</f>
        <v>1</v>
      </c>
      <c r="I3" s="12">
        <f>B3-ABS(G3)</f>
        <v>-0.12857142857142861</v>
      </c>
      <c r="J3" s="12">
        <f>1-B3</f>
        <v>0.7</v>
      </c>
      <c r="K3" s="12">
        <f>J3-ABS(G3)</f>
        <v>0.27142857142857135</v>
      </c>
    </row>
    <row r="4" spans="1:12" s="13" customFormat="1" ht="17" x14ac:dyDescent="0.2">
      <c r="A4" s="14" t="s">
        <v>7</v>
      </c>
      <c r="B4" s="17">
        <v>0.3</v>
      </c>
      <c r="C4" s="17">
        <v>0.7</v>
      </c>
      <c r="D4" s="21">
        <f t="shared" ref="D4:D22" si="2">C4-B4</f>
        <v>0.39999999999999997</v>
      </c>
      <c r="E4" s="11">
        <f t="shared" si="0"/>
        <v>0.7</v>
      </c>
      <c r="F4" s="11">
        <f t="shared" si="1"/>
        <v>0.3</v>
      </c>
      <c r="G4" s="11">
        <f>D4/E4</f>
        <v>0.5714285714285714</v>
      </c>
      <c r="H4" s="11">
        <f>D4/F4</f>
        <v>1.3333333333333333</v>
      </c>
      <c r="I4" s="12">
        <f>B4-ABS(G4)</f>
        <v>-0.27142857142857141</v>
      </c>
      <c r="J4" s="12">
        <f>1-B4</f>
        <v>0.7</v>
      </c>
      <c r="K4" s="12">
        <f>J4-ABS(G4)</f>
        <v>0.12857142857142856</v>
      </c>
    </row>
    <row r="5" spans="1:12" s="13" customFormat="1" ht="17" x14ac:dyDescent="0.2">
      <c r="A5" s="15" t="s">
        <v>8</v>
      </c>
      <c r="B5" s="17">
        <v>0.7</v>
      </c>
      <c r="C5" s="17">
        <v>0.3</v>
      </c>
      <c r="D5" s="21">
        <f t="shared" si="2"/>
        <v>-0.39999999999999997</v>
      </c>
      <c r="E5" s="11">
        <f t="shared" si="0"/>
        <v>0.30000000000000004</v>
      </c>
      <c r="F5" s="11">
        <f>ABS(0-B5)</f>
        <v>0.7</v>
      </c>
      <c r="G5" s="11">
        <f>D5/E5</f>
        <v>-1.333333333333333</v>
      </c>
      <c r="H5" s="11">
        <f>D5/F5</f>
        <v>-0.5714285714285714</v>
      </c>
      <c r="I5" s="12">
        <f>B5-ABS(H5)</f>
        <v>0.12857142857142856</v>
      </c>
      <c r="J5" s="12">
        <f>1-B5</f>
        <v>0.30000000000000004</v>
      </c>
      <c r="K5" s="12">
        <f>J5-ABS(G5)</f>
        <v>-1.033333333333333</v>
      </c>
      <c r="L5" s="25"/>
    </row>
    <row r="6" spans="1:12" s="13" customFormat="1" ht="16" customHeight="1" x14ac:dyDescent="0.2">
      <c r="A6" s="15" t="s">
        <v>9</v>
      </c>
      <c r="B6" s="17">
        <v>0.7</v>
      </c>
      <c r="C6" s="17">
        <v>0.5</v>
      </c>
      <c r="D6" s="21">
        <f t="shared" si="2"/>
        <v>-0.19999999999999996</v>
      </c>
      <c r="E6" s="11">
        <f t="shared" si="0"/>
        <v>0.30000000000000004</v>
      </c>
      <c r="F6" s="11">
        <f t="shared" si="1"/>
        <v>0.7</v>
      </c>
      <c r="G6" s="11">
        <f>D6/E6</f>
        <v>-0.66666666666666641</v>
      </c>
      <c r="H6" s="11">
        <f>D6/F6</f>
        <v>-0.28571428571428564</v>
      </c>
      <c r="I6" s="12">
        <f>B6-ABS(H6)</f>
        <v>0.41428571428571431</v>
      </c>
      <c r="J6" s="12">
        <f>1-B6</f>
        <v>0.30000000000000004</v>
      </c>
      <c r="K6" s="12">
        <f>J6-ABS(G6)</f>
        <v>-0.36666666666666636</v>
      </c>
    </row>
    <row r="7" spans="1:12" s="13" customFormat="1" ht="17" customHeight="1" x14ac:dyDescent="0.2">
      <c r="A7" s="15" t="s">
        <v>10</v>
      </c>
      <c r="B7" s="17">
        <v>0.999</v>
      </c>
      <c r="C7" s="17">
        <v>1E-3</v>
      </c>
      <c r="D7" s="21">
        <f t="shared" si="2"/>
        <v>-0.998</v>
      </c>
      <c r="E7" s="11">
        <f t="shared" si="0"/>
        <v>1.0000000000000009E-3</v>
      </c>
      <c r="F7" s="11">
        <f t="shared" si="1"/>
        <v>0.999</v>
      </c>
      <c r="G7" s="11">
        <f>D7/E7</f>
        <v>-997.99999999999909</v>
      </c>
      <c r="H7" s="11">
        <f>D7/F7</f>
        <v>-0.99899899899899902</v>
      </c>
      <c r="I7" s="12">
        <f>B7-ABS(H7)</f>
        <v>1.0010010009775527E-6</v>
      </c>
      <c r="J7" s="12">
        <f>1-B7</f>
        <v>1.0000000000000009E-3</v>
      </c>
      <c r="K7" s="12">
        <f>J7-ABS(G7)</f>
        <v>-997.99899999999911</v>
      </c>
    </row>
    <row r="8" spans="1:12" s="13" customFormat="1" ht="29" customHeight="1" x14ac:dyDescent="0.2">
      <c r="A8" s="10" t="s">
        <v>11</v>
      </c>
      <c r="B8" s="17">
        <v>0.5</v>
      </c>
      <c r="C8" s="17">
        <v>1</v>
      </c>
      <c r="D8" s="21">
        <f t="shared" si="2"/>
        <v>0.5</v>
      </c>
      <c r="E8" s="11">
        <f t="shared" si="0"/>
        <v>0.5</v>
      </c>
      <c r="F8" s="11">
        <f t="shared" si="1"/>
        <v>0.5</v>
      </c>
      <c r="G8" s="11">
        <f>D8/E8</f>
        <v>1</v>
      </c>
      <c r="H8" s="11">
        <f>D8/F8</f>
        <v>1</v>
      </c>
      <c r="I8" s="12">
        <f>B8-ABS(G8)</f>
        <v>-0.5</v>
      </c>
      <c r="J8" s="12">
        <f>1-B8</f>
        <v>0.5</v>
      </c>
      <c r="K8" s="12">
        <f>J8-ABS(G8)</f>
        <v>-0.5</v>
      </c>
    </row>
    <row r="9" spans="1:12" s="13" customFormat="1" ht="14" customHeight="1" x14ac:dyDescent="0.2">
      <c r="A9" s="10" t="s">
        <v>29</v>
      </c>
      <c r="B9" s="17">
        <v>0.5</v>
      </c>
      <c r="C9" s="17">
        <v>0.5</v>
      </c>
      <c r="D9" s="21">
        <f t="shared" si="2"/>
        <v>0</v>
      </c>
      <c r="E9" s="11">
        <f t="shared" si="0"/>
        <v>0.5</v>
      </c>
      <c r="F9" s="11">
        <f t="shared" si="1"/>
        <v>0.5</v>
      </c>
      <c r="G9" s="11">
        <f>D9/E9</f>
        <v>0</v>
      </c>
      <c r="H9" s="11">
        <f>D9/F9</f>
        <v>0</v>
      </c>
      <c r="I9" s="12">
        <f>B9-ABS(G9)</f>
        <v>0.5</v>
      </c>
      <c r="J9" s="12">
        <f>1-B9</f>
        <v>0.5</v>
      </c>
      <c r="K9" s="12">
        <f>J9-ABS(G9)</f>
        <v>0.5</v>
      </c>
    </row>
    <row r="10" spans="1:12" s="25" customFormat="1" ht="31" customHeight="1" x14ac:dyDescent="0.2">
      <c r="A10" s="30" t="s">
        <v>12</v>
      </c>
      <c r="B10" s="31">
        <v>0.5</v>
      </c>
      <c r="C10" s="31">
        <v>0</v>
      </c>
      <c r="D10" s="32">
        <f t="shared" si="2"/>
        <v>-0.5</v>
      </c>
      <c r="E10" s="33">
        <f t="shared" si="0"/>
        <v>0.5</v>
      </c>
      <c r="F10" s="33">
        <f t="shared" si="1"/>
        <v>0.5</v>
      </c>
      <c r="G10" s="33">
        <f>D10/E10</f>
        <v>-1</v>
      </c>
      <c r="H10" s="33">
        <f>D10/F10</f>
        <v>-1</v>
      </c>
      <c r="I10" s="34">
        <f>B10-ABS(H10)</f>
        <v>-0.5</v>
      </c>
      <c r="J10" s="34">
        <f>1-B10</f>
        <v>0.5</v>
      </c>
      <c r="K10" s="34">
        <f>J10-ABS(G10)</f>
        <v>-0.5</v>
      </c>
    </row>
    <row r="11" spans="1:12" s="13" customFormat="1" ht="19" customHeight="1" x14ac:dyDescent="0.2">
      <c r="A11" s="7" t="s">
        <v>13</v>
      </c>
      <c r="B11" s="18">
        <v>0.22446666700000001</v>
      </c>
      <c r="C11" s="18">
        <v>0.6794</v>
      </c>
      <c r="D11" s="22">
        <f t="shared" si="2"/>
        <v>0.454933333</v>
      </c>
      <c r="E11" s="4">
        <f t="shared" si="0"/>
        <v>0.77553333300000005</v>
      </c>
      <c r="F11" s="4">
        <f t="shared" si="1"/>
        <v>0.22446666700000001</v>
      </c>
      <c r="G11" s="4">
        <f>D11/E11</f>
        <v>0.58660706592736478</v>
      </c>
      <c r="H11" s="4">
        <f>D11/F11</f>
        <v>2.0267300222353279</v>
      </c>
      <c r="I11" s="5">
        <f>B11-ABS(H11)</f>
        <v>-1.802263355235328</v>
      </c>
      <c r="J11" s="5">
        <f>1-B11</f>
        <v>0.77553333300000005</v>
      </c>
      <c r="K11" s="6">
        <f>J11-ABS(G11)</f>
        <v>0.18892626707263527</v>
      </c>
    </row>
    <row r="12" spans="1:12" s="13" customFormat="1" ht="18" customHeight="1" x14ac:dyDescent="0.2">
      <c r="A12" s="8" t="s">
        <v>14</v>
      </c>
      <c r="B12" s="18">
        <v>0.217733333</v>
      </c>
      <c r="C12" s="18">
        <v>0.63549999999999995</v>
      </c>
      <c r="D12" s="22">
        <f t="shared" si="2"/>
        <v>0.41776666699999998</v>
      </c>
      <c r="E12" s="4">
        <f t="shared" si="0"/>
        <v>0.78226666700000003</v>
      </c>
      <c r="F12" s="4">
        <f t="shared" si="1"/>
        <v>0.217733333</v>
      </c>
      <c r="G12" s="4">
        <f>D12/E12</f>
        <v>0.53404636120076421</v>
      </c>
      <c r="H12" s="4">
        <f>D12/F12</f>
        <v>1.9187079040396628</v>
      </c>
      <c r="I12" s="5">
        <f>B12-ABS(H12)</f>
        <v>-1.7009745710396629</v>
      </c>
      <c r="J12" s="5">
        <f>1-B12</f>
        <v>0.78226666700000003</v>
      </c>
      <c r="K12" s="6">
        <f>J12-ABS(G12)</f>
        <v>0.24822030579923582</v>
      </c>
    </row>
    <row r="13" spans="1:12" s="13" customFormat="1" ht="20" customHeight="1" x14ac:dyDescent="0.2">
      <c r="A13" s="8" t="s">
        <v>15</v>
      </c>
      <c r="B13" s="18">
        <v>0.51060000000000005</v>
      </c>
      <c r="C13" s="18">
        <v>0.92599999999999993</v>
      </c>
      <c r="D13" s="22">
        <f t="shared" si="2"/>
        <v>0.41539999999999988</v>
      </c>
      <c r="E13" s="4">
        <f t="shared" si="0"/>
        <v>0.48939999999999995</v>
      </c>
      <c r="F13" s="4">
        <f t="shared" si="1"/>
        <v>0.51060000000000005</v>
      </c>
      <c r="G13" s="4">
        <f>D13/E13</f>
        <v>0.84879444217409061</v>
      </c>
      <c r="H13" s="4">
        <f>D13/F13</f>
        <v>0.81355268311790019</v>
      </c>
      <c r="I13" s="5">
        <f>B13-ABS(H13)</f>
        <v>-0.30295268311790013</v>
      </c>
      <c r="J13" s="5">
        <f>1-B13</f>
        <v>0.48939999999999995</v>
      </c>
      <c r="K13" s="6">
        <f>J13-ABS(G13)</f>
        <v>-0.35939444217409067</v>
      </c>
    </row>
    <row r="14" spans="1:12" s="24" customFormat="1" x14ac:dyDescent="0.2">
      <c r="A14" s="8" t="s">
        <v>16</v>
      </c>
      <c r="B14" s="18">
        <v>0.56769999999999998</v>
      </c>
      <c r="C14" s="18">
        <v>0.91670000000000007</v>
      </c>
      <c r="D14" s="22">
        <f t="shared" si="2"/>
        <v>0.34900000000000009</v>
      </c>
      <c r="E14" s="4">
        <f t="shared" si="0"/>
        <v>0.43230000000000002</v>
      </c>
      <c r="F14" s="4">
        <f t="shared" si="1"/>
        <v>0.56769999999999998</v>
      </c>
      <c r="G14" s="4">
        <f>D14/E14</f>
        <v>0.8073097386074487</v>
      </c>
      <c r="H14" s="4">
        <f>D14/F14</f>
        <v>0.61476131759732267</v>
      </c>
      <c r="I14" s="5">
        <f>B14-ABS(H14)</f>
        <v>-4.7061317597322683E-2</v>
      </c>
      <c r="J14" s="5">
        <f>1-B14</f>
        <v>0.43230000000000002</v>
      </c>
      <c r="K14" s="6">
        <f>J14-ABS(G14)</f>
        <v>-0.37500973860744868</v>
      </c>
    </row>
    <row r="15" spans="1:12" x14ac:dyDescent="0.2">
      <c r="A15" s="8" t="s">
        <v>17</v>
      </c>
      <c r="B15" s="18">
        <v>0.26473333333333299</v>
      </c>
      <c r="C15" s="18">
        <v>0.4017</v>
      </c>
      <c r="D15" s="22">
        <f t="shared" si="2"/>
        <v>0.13696666666666701</v>
      </c>
      <c r="E15" s="4">
        <f t="shared" si="0"/>
        <v>0.73526666666666696</v>
      </c>
      <c r="F15" s="4">
        <f t="shared" si="1"/>
        <v>0.26473333333333299</v>
      </c>
      <c r="G15" s="4">
        <f>D15/E15</f>
        <v>0.18628162118052446</v>
      </c>
      <c r="H15" s="4">
        <f>D15/F15</f>
        <v>0.51737597582473127</v>
      </c>
      <c r="I15" s="5">
        <f>B15-ABS(H15)</f>
        <v>-0.25264264249139828</v>
      </c>
      <c r="J15" s="5">
        <f>1-B15</f>
        <v>0.73526666666666696</v>
      </c>
      <c r="K15" s="6">
        <f>J15-ABS(G15)</f>
        <v>0.54898504548614246</v>
      </c>
    </row>
    <row r="16" spans="1:12" x14ac:dyDescent="0.2">
      <c r="A16" s="8" t="s">
        <v>18</v>
      </c>
      <c r="B16" s="18">
        <v>0.26506666666666701</v>
      </c>
      <c r="C16" s="18">
        <v>0.27429999999999999</v>
      </c>
      <c r="D16" s="22">
        <f t="shared" si="2"/>
        <v>9.2333333333329826E-3</v>
      </c>
      <c r="E16" s="4">
        <f t="shared" si="0"/>
        <v>0.73493333333333299</v>
      </c>
      <c r="F16" s="4">
        <f t="shared" si="1"/>
        <v>0.26506666666666701</v>
      </c>
      <c r="G16" s="4">
        <f>D16/E16</f>
        <v>1.2563497822931313E-2</v>
      </c>
      <c r="H16" s="4">
        <f>D16/F16</f>
        <v>3.4834004024143501E-2</v>
      </c>
      <c r="I16" s="5">
        <f>B16-ABS(H16)</f>
        <v>0.23023266264252351</v>
      </c>
      <c r="J16" s="5">
        <f>1-B16</f>
        <v>0.73493333333333299</v>
      </c>
      <c r="K16" s="6">
        <f>J16-ABS(G16)</f>
        <v>0.72236983551040168</v>
      </c>
    </row>
    <row r="17" spans="1:11" x14ac:dyDescent="0.2">
      <c r="A17" s="8" t="s">
        <v>19</v>
      </c>
      <c r="B17" s="18">
        <v>0.4889</v>
      </c>
      <c r="C17" s="18">
        <v>0.83010000000000006</v>
      </c>
      <c r="D17" s="22">
        <f t="shared" si="2"/>
        <v>0.34120000000000006</v>
      </c>
      <c r="E17" s="4">
        <f t="shared" si="0"/>
        <v>0.5111</v>
      </c>
      <c r="F17" s="4">
        <f t="shared" si="1"/>
        <v>0.4889</v>
      </c>
      <c r="G17" s="4">
        <f>D17/E17</f>
        <v>0.6675797299941304</v>
      </c>
      <c r="H17" s="4">
        <f>D17/F17</f>
        <v>0.6978932296993251</v>
      </c>
      <c r="I17" s="5">
        <f>B17-ABS(H17)</f>
        <v>-0.2089932296993251</v>
      </c>
      <c r="J17" s="5">
        <f>1-B17</f>
        <v>0.5111</v>
      </c>
      <c r="K17" s="6">
        <f>J17-ABS(G17)</f>
        <v>-0.1564797299941304</v>
      </c>
    </row>
    <row r="18" spans="1:11" x14ac:dyDescent="0.2">
      <c r="A18" s="8" t="s">
        <v>20</v>
      </c>
      <c r="B18" s="18">
        <v>0.55710000000000004</v>
      </c>
      <c r="C18" s="18">
        <v>0.79799999999999993</v>
      </c>
      <c r="D18" s="22">
        <f t="shared" si="2"/>
        <v>0.24089999999999989</v>
      </c>
      <c r="E18" s="4">
        <f t="shared" si="0"/>
        <v>0.44289999999999996</v>
      </c>
      <c r="F18" s="4">
        <f t="shared" si="1"/>
        <v>0.55710000000000004</v>
      </c>
      <c r="G18" s="4">
        <f>D18/E18</f>
        <v>0.54391510498983953</v>
      </c>
      <c r="H18" s="4">
        <f>D18/F18</f>
        <v>0.43241787829833039</v>
      </c>
      <c r="I18" s="5">
        <f>B18-ABS(H18)</f>
        <v>0.12468212170166965</v>
      </c>
      <c r="J18" s="5">
        <f>1-B18</f>
        <v>0.44289999999999996</v>
      </c>
      <c r="K18" s="6">
        <f>J18-ABS(G18)</f>
        <v>-0.10101510498983957</v>
      </c>
    </row>
    <row r="19" spans="1:11" ht="17" x14ac:dyDescent="0.2">
      <c r="A19" s="9" t="s">
        <v>21</v>
      </c>
      <c r="B19" s="18">
        <v>0.69220000000000004</v>
      </c>
      <c r="C19" s="18">
        <v>0.2384</v>
      </c>
      <c r="D19" s="22">
        <f t="shared" si="2"/>
        <v>-0.45380000000000004</v>
      </c>
      <c r="E19" s="4">
        <f t="shared" si="0"/>
        <v>0.30779999999999996</v>
      </c>
      <c r="F19" s="4">
        <f t="shared" si="1"/>
        <v>0.69220000000000004</v>
      </c>
      <c r="G19" s="4">
        <f>D19/E19</f>
        <v>-1.4743339831059132</v>
      </c>
      <c r="H19" s="4">
        <f>D19/F19</f>
        <v>-0.65559086969084079</v>
      </c>
      <c r="I19" s="5">
        <f>B19-ABS(H19)</f>
        <v>3.6609130309159243E-2</v>
      </c>
      <c r="J19" s="5">
        <f>1-B19</f>
        <v>0.30779999999999996</v>
      </c>
      <c r="K19" s="6">
        <f>J19-ABS(G19)</f>
        <v>-1.1665339831059134</v>
      </c>
    </row>
    <row r="20" spans="1:11" ht="34" x14ac:dyDescent="0.2">
      <c r="A20" s="9" t="s">
        <v>22</v>
      </c>
      <c r="B20" s="18">
        <v>0.7177</v>
      </c>
      <c r="C20" s="18">
        <v>0.185</v>
      </c>
      <c r="D20" s="22">
        <f t="shared" si="2"/>
        <v>-0.53269999999999995</v>
      </c>
      <c r="E20" s="4">
        <f t="shared" si="0"/>
        <v>0.2823</v>
      </c>
      <c r="F20" s="4">
        <f t="shared" si="1"/>
        <v>0.7177</v>
      </c>
      <c r="G20" s="4">
        <f>D20/E20</f>
        <v>-1.8869996457669145</v>
      </c>
      <c r="H20" s="4">
        <f>D20/F20</f>
        <v>-0.74223213041660852</v>
      </c>
      <c r="I20" s="5">
        <f>B20-ABS(H20)</f>
        <v>-2.4532130416608511E-2</v>
      </c>
      <c r="J20" s="5">
        <f>1-B20</f>
        <v>0.2823</v>
      </c>
      <c r="K20" s="6">
        <f>J20-ABS(G20)</f>
        <v>-1.6046996457669145</v>
      </c>
    </row>
    <row r="21" spans="1:11" ht="17" x14ac:dyDescent="0.2">
      <c r="A21" s="9" t="s">
        <v>23</v>
      </c>
      <c r="B21" s="18">
        <v>0.93519999999999992</v>
      </c>
      <c r="C21" s="18">
        <v>0.62259999999999993</v>
      </c>
      <c r="D21" s="22">
        <f t="shared" si="2"/>
        <v>-0.31259999999999999</v>
      </c>
      <c r="E21" s="4">
        <f t="shared" si="0"/>
        <v>6.480000000000008E-2</v>
      </c>
      <c r="F21" s="4">
        <f t="shared" si="1"/>
        <v>0.93519999999999992</v>
      </c>
      <c r="G21" s="4">
        <f>D21/E21</f>
        <v>-4.8240740740740682</v>
      </c>
      <c r="H21" s="4">
        <f>D21/F21</f>
        <v>-0.33426005132591963</v>
      </c>
      <c r="I21" s="5">
        <f>B21-ABS(H21)</f>
        <v>0.60093994867408029</v>
      </c>
      <c r="J21" s="5">
        <f>1-B21</f>
        <v>6.480000000000008E-2</v>
      </c>
      <c r="K21" s="6">
        <f>J21-ABS(G21)</f>
        <v>-4.7592740740740682</v>
      </c>
    </row>
    <row r="22" spans="1:11" ht="17" x14ac:dyDescent="0.2">
      <c r="A22" s="9" t="s">
        <v>24</v>
      </c>
      <c r="B22" s="18">
        <v>0.92890000000000006</v>
      </c>
      <c r="C22" s="18">
        <v>0.52560000000000007</v>
      </c>
      <c r="D22" s="22">
        <f t="shared" si="2"/>
        <v>-0.40329999999999999</v>
      </c>
      <c r="E22" s="4">
        <f t="shared" si="0"/>
        <v>7.1099999999999941E-2</v>
      </c>
      <c r="F22" s="4">
        <f t="shared" si="1"/>
        <v>0.92890000000000006</v>
      </c>
      <c r="G22" s="4">
        <f>D22/E22</f>
        <v>-5.6722925457102722</v>
      </c>
      <c r="H22" s="4">
        <f>D22/F22</f>
        <v>-0.43416944773387872</v>
      </c>
      <c r="I22" s="5">
        <f>B22-ABS(H22)</f>
        <v>0.49473055226612134</v>
      </c>
      <c r="J22" s="5">
        <f>1-B22</f>
        <v>7.1099999999999941E-2</v>
      </c>
      <c r="K22" s="6">
        <f>J22-ABS(G22)</f>
        <v>-5.6011925457102727</v>
      </c>
    </row>
  </sheetData>
  <conditionalFormatting sqref="G1:G22">
    <cfRule type="cellIs" dxfId="24" priority="5" operator="greaterThan">
      <formula>0</formula>
    </cfRule>
  </conditionalFormatting>
  <conditionalFormatting sqref="H2:H22">
    <cfRule type="cellIs" dxfId="23" priority="4" operator="lessThan">
      <formula>0</formula>
    </cfRule>
  </conditionalFormatting>
  <conditionalFormatting sqref="I1:I22">
    <cfRule type="cellIs" dxfId="22" priority="3" operator="greaterThan">
      <formula>0</formula>
    </cfRule>
  </conditionalFormatting>
  <conditionalFormatting sqref="K1:K22">
    <cfRule type="cellIs" dxfId="21" priority="2" stopIfTrue="1" operator="greaterThan">
      <formula>0</formula>
    </cfRule>
  </conditionalFormatting>
  <conditionalFormatting sqref="H1">
    <cfRule type="cellIs" dxfId="2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D293-968E-F24B-BA7E-1A40138C7999}">
  <dimension ref="A1:K11"/>
  <sheetViews>
    <sheetView workbookViewId="0">
      <selection activeCell="E2" sqref="E2"/>
    </sheetView>
  </sheetViews>
  <sheetFormatPr baseColWidth="10" defaultRowHeight="16" x14ac:dyDescent="0.2"/>
  <cols>
    <col min="1" max="1" width="24.1640625" customWidth="1"/>
  </cols>
  <sheetData>
    <row r="1" spans="1:11" ht="102" x14ac:dyDescent="0.2">
      <c r="A1" s="3" t="s">
        <v>32</v>
      </c>
      <c r="B1" s="28" t="s">
        <v>28</v>
      </c>
      <c r="C1" s="27" t="s">
        <v>0</v>
      </c>
      <c r="D1" s="20" t="s">
        <v>1</v>
      </c>
      <c r="E1" s="3" t="s">
        <v>2</v>
      </c>
      <c r="F1" s="3" t="s">
        <v>3</v>
      </c>
      <c r="G1" s="1" t="s">
        <v>33</v>
      </c>
      <c r="H1" s="1" t="s">
        <v>34</v>
      </c>
      <c r="I1" s="1" t="s">
        <v>35</v>
      </c>
      <c r="J1" s="1" t="s">
        <v>4</v>
      </c>
      <c r="K1" s="2" t="s">
        <v>36</v>
      </c>
    </row>
    <row r="2" spans="1:11" ht="23" customHeight="1" x14ac:dyDescent="0.2">
      <c r="A2" s="14" t="s">
        <v>5</v>
      </c>
      <c r="B2" s="26">
        <v>1E-3</v>
      </c>
      <c r="C2" s="16">
        <v>0.999</v>
      </c>
      <c r="D2" s="21">
        <v>0.998</v>
      </c>
      <c r="E2" s="11">
        <v>0.999</v>
      </c>
      <c r="F2" s="11">
        <v>1E-3</v>
      </c>
      <c r="G2" s="11">
        <v>0.99899899899899902</v>
      </c>
      <c r="H2" s="11">
        <v>998</v>
      </c>
      <c r="I2" s="12">
        <v>-0.99799899899899902</v>
      </c>
      <c r="J2" s="12">
        <v>0.999</v>
      </c>
      <c r="K2" s="12">
        <v>1.0010010009775527E-6</v>
      </c>
    </row>
    <row r="3" spans="1:11" ht="22" customHeight="1" x14ac:dyDescent="0.2">
      <c r="A3" s="14" t="s">
        <v>6</v>
      </c>
      <c r="B3" s="29">
        <v>0.3</v>
      </c>
      <c r="C3" s="16">
        <v>0.6</v>
      </c>
      <c r="D3" s="21">
        <v>0.3</v>
      </c>
      <c r="E3" s="11">
        <v>0.7</v>
      </c>
      <c r="F3" s="11">
        <v>0.3</v>
      </c>
      <c r="G3" s="11">
        <v>0.4285714285714286</v>
      </c>
      <c r="H3" s="11">
        <v>1</v>
      </c>
      <c r="I3" s="12">
        <v>-0.12857142857142861</v>
      </c>
      <c r="J3" s="12">
        <v>0.7</v>
      </c>
      <c r="K3" s="12">
        <v>0.27142857142857135</v>
      </c>
    </row>
    <row r="4" spans="1:11" ht="17" x14ac:dyDescent="0.2">
      <c r="A4" s="14" t="s">
        <v>7</v>
      </c>
      <c r="B4" s="17">
        <v>0.3</v>
      </c>
      <c r="C4" s="17">
        <v>0.7</v>
      </c>
      <c r="D4" s="21">
        <v>0.39999999999999997</v>
      </c>
      <c r="E4" s="11">
        <v>0.7</v>
      </c>
      <c r="F4" s="11">
        <v>0.3</v>
      </c>
      <c r="G4" s="11">
        <v>0.5714285714285714</v>
      </c>
      <c r="H4" s="11">
        <v>1.3333333333333333</v>
      </c>
      <c r="I4" s="12">
        <v>-0.27142857142857141</v>
      </c>
      <c r="J4" s="12">
        <v>0.7</v>
      </c>
      <c r="K4" s="12">
        <v>0.12857142857142856</v>
      </c>
    </row>
    <row r="5" spans="1:11" ht="16" customHeight="1" x14ac:dyDescent="0.2">
      <c r="A5" s="15" t="s">
        <v>8</v>
      </c>
      <c r="B5" s="17">
        <v>0.7</v>
      </c>
      <c r="C5" s="17">
        <v>0.3</v>
      </c>
      <c r="D5" s="21">
        <v>-0.39999999999999997</v>
      </c>
      <c r="E5" s="11">
        <v>0.30000000000000004</v>
      </c>
      <c r="F5" s="11">
        <v>0.7</v>
      </c>
      <c r="G5" s="11">
        <v>-1.333333333333333</v>
      </c>
      <c r="H5" s="11">
        <v>-0.5714285714285714</v>
      </c>
      <c r="I5" s="12">
        <v>0.12857142857142856</v>
      </c>
      <c r="J5" s="12">
        <v>0.30000000000000004</v>
      </c>
      <c r="K5" s="12">
        <v>-1.033333333333333</v>
      </c>
    </row>
    <row r="6" spans="1:11" ht="20" customHeight="1" x14ac:dyDescent="0.2">
      <c r="A6" s="15" t="s">
        <v>9</v>
      </c>
      <c r="B6" s="17">
        <v>0.7</v>
      </c>
      <c r="C6" s="17">
        <v>0.5</v>
      </c>
      <c r="D6" s="21">
        <v>-0.19999999999999996</v>
      </c>
      <c r="E6" s="11">
        <v>0.30000000000000004</v>
      </c>
      <c r="F6" s="11">
        <v>0.7</v>
      </c>
      <c r="G6" s="11">
        <v>-0.66666666666666641</v>
      </c>
      <c r="H6" s="11">
        <v>-0.28571428571428564</v>
      </c>
      <c r="I6" s="12">
        <v>0.41428571428571431</v>
      </c>
      <c r="J6" s="12">
        <v>0.30000000000000004</v>
      </c>
      <c r="K6" s="12">
        <v>-0.36666666666666636</v>
      </c>
    </row>
    <row r="7" spans="1:11" ht="24" customHeight="1" x14ac:dyDescent="0.2">
      <c r="A7" s="15" t="s">
        <v>10</v>
      </c>
      <c r="B7" s="17">
        <v>0.999</v>
      </c>
      <c r="C7" s="17">
        <v>1E-3</v>
      </c>
      <c r="D7" s="21">
        <v>-0.998</v>
      </c>
      <c r="E7" s="11">
        <v>1.0000000000000009E-3</v>
      </c>
      <c r="F7" s="11">
        <v>0.999</v>
      </c>
      <c r="G7" s="11">
        <v>-997.99999999999909</v>
      </c>
      <c r="H7" s="11">
        <v>-0.99899899899899902</v>
      </c>
      <c r="I7" s="12">
        <v>1.0010010009775527E-6</v>
      </c>
      <c r="J7" s="12">
        <v>1.0000000000000009E-3</v>
      </c>
      <c r="K7" s="12">
        <v>-997.99899999999911</v>
      </c>
    </row>
    <row r="8" spans="1:11" ht="24" customHeight="1" x14ac:dyDescent="0.2">
      <c r="A8" s="10" t="s">
        <v>11</v>
      </c>
      <c r="B8" s="17">
        <v>0.5</v>
      </c>
      <c r="C8" s="17">
        <v>1</v>
      </c>
      <c r="D8" s="21">
        <v>0.5</v>
      </c>
      <c r="E8" s="11">
        <v>0.5</v>
      </c>
      <c r="F8" s="11">
        <v>0.5</v>
      </c>
      <c r="G8" s="11">
        <v>1</v>
      </c>
      <c r="H8" s="11">
        <v>1</v>
      </c>
      <c r="I8" s="12">
        <v>-0.5</v>
      </c>
      <c r="J8" s="12">
        <v>0.5</v>
      </c>
      <c r="K8" s="12">
        <v>-0.5</v>
      </c>
    </row>
    <row r="9" spans="1:11" ht="20" customHeight="1" x14ac:dyDescent="0.2">
      <c r="A9" s="10" t="s">
        <v>29</v>
      </c>
      <c r="B9" s="17">
        <v>0.5</v>
      </c>
      <c r="C9" s="17">
        <v>0.5</v>
      </c>
      <c r="D9" s="21">
        <v>0</v>
      </c>
      <c r="E9" s="11">
        <v>0.5</v>
      </c>
      <c r="F9" s="11">
        <v>0.5</v>
      </c>
      <c r="G9" s="11">
        <v>0</v>
      </c>
      <c r="H9" s="11">
        <v>0</v>
      </c>
      <c r="I9" s="12">
        <v>0.5</v>
      </c>
      <c r="J9" s="12">
        <v>0.5</v>
      </c>
      <c r="K9" s="12">
        <v>0.5</v>
      </c>
    </row>
    <row r="10" spans="1:11" ht="21" customHeight="1" x14ac:dyDescent="0.2">
      <c r="A10" s="30" t="s">
        <v>12</v>
      </c>
      <c r="B10" s="31">
        <v>0.5</v>
      </c>
      <c r="C10" s="31">
        <v>0</v>
      </c>
      <c r="D10" s="32">
        <v>-0.5</v>
      </c>
      <c r="E10" s="33">
        <v>0.5</v>
      </c>
      <c r="F10" s="33">
        <v>0.5</v>
      </c>
      <c r="G10" s="33">
        <v>-1</v>
      </c>
      <c r="H10" s="33">
        <v>-1</v>
      </c>
      <c r="I10" s="34">
        <v>-0.5</v>
      </c>
      <c r="J10" s="34">
        <v>0.5</v>
      </c>
      <c r="K10" s="34">
        <v>-0.5</v>
      </c>
    </row>
    <row r="11" spans="1:11" ht="17" x14ac:dyDescent="0.2">
      <c r="A11" s="7" t="s">
        <v>13</v>
      </c>
      <c r="B11" s="18">
        <v>0.22446666700000001</v>
      </c>
      <c r="C11" s="18">
        <v>0.6794</v>
      </c>
      <c r="D11" s="22">
        <v>0.454933333</v>
      </c>
      <c r="E11" s="4">
        <v>0.77553333300000005</v>
      </c>
      <c r="F11" s="4">
        <v>0.22446666700000001</v>
      </c>
      <c r="G11" s="4">
        <v>0.58660706592736478</v>
      </c>
      <c r="H11" s="4">
        <v>2.0267300222353279</v>
      </c>
      <c r="I11" s="5">
        <v>-1.802263355235328</v>
      </c>
      <c r="J11" s="5">
        <v>0.77553333300000005</v>
      </c>
      <c r="K11" s="6">
        <v>0.18892626707263527</v>
      </c>
    </row>
  </sheetData>
  <conditionalFormatting sqref="G1:G11">
    <cfRule type="cellIs" dxfId="14" priority="5" operator="greaterThan">
      <formula>0</formula>
    </cfRule>
  </conditionalFormatting>
  <conditionalFormatting sqref="H2:H11">
    <cfRule type="cellIs" dxfId="13" priority="4" operator="lessThan">
      <formula>0</formula>
    </cfRule>
  </conditionalFormatting>
  <conditionalFormatting sqref="I1:I11">
    <cfRule type="cellIs" dxfId="12" priority="3" operator="greaterThan">
      <formula>0</formula>
    </cfRule>
  </conditionalFormatting>
  <conditionalFormatting sqref="K1:K11">
    <cfRule type="cellIs" dxfId="11" priority="2" stopIfTrue="1" operator="greaterThan">
      <formula>0</formula>
    </cfRule>
  </conditionalFormatting>
  <conditionalFormatting sqref="H1">
    <cfRule type="cellIs" dxfId="1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3F65-9433-8249-838B-77E6870AED57}">
  <dimension ref="A1:K11"/>
  <sheetViews>
    <sheetView workbookViewId="0">
      <selection activeCell="E2" sqref="E2"/>
    </sheetView>
  </sheetViews>
  <sheetFormatPr baseColWidth="10" defaultRowHeight="16" x14ac:dyDescent="0.2"/>
  <sheetData>
    <row r="1" spans="1:11" ht="119" x14ac:dyDescent="0.2">
      <c r="A1" s="36" t="s">
        <v>32</v>
      </c>
      <c r="B1" s="37" t="s">
        <v>28</v>
      </c>
      <c r="C1" s="38" t="s">
        <v>0</v>
      </c>
      <c r="D1" s="39" t="s">
        <v>1</v>
      </c>
      <c r="E1" s="36" t="s">
        <v>2</v>
      </c>
      <c r="F1" s="36" t="s">
        <v>3</v>
      </c>
      <c r="G1" s="36" t="s">
        <v>33</v>
      </c>
      <c r="H1" s="36" t="s">
        <v>34</v>
      </c>
      <c r="I1" s="36" t="s">
        <v>35</v>
      </c>
      <c r="J1" s="36" t="s">
        <v>4</v>
      </c>
      <c r="K1" s="40" t="s">
        <v>36</v>
      </c>
    </row>
    <row r="2" spans="1:11" ht="34" x14ac:dyDescent="0.2">
      <c r="A2" s="41" t="s">
        <v>5</v>
      </c>
      <c r="B2" s="42">
        <v>1E-3</v>
      </c>
      <c r="C2" s="43">
        <v>0.999</v>
      </c>
      <c r="D2" s="44">
        <v>0.998</v>
      </c>
      <c r="E2" s="45">
        <v>0.999</v>
      </c>
      <c r="F2" s="45">
        <v>1E-3</v>
      </c>
      <c r="G2" s="45">
        <v>0.99899899899899902</v>
      </c>
      <c r="H2" s="45">
        <v>998</v>
      </c>
      <c r="I2" s="46">
        <v>-0.99799899899899902</v>
      </c>
      <c r="J2" s="46">
        <v>0.999</v>
      </c>
      <c r="K2" s="46">
        <v>1.0010010009775527E-6</v>
      </c>
    </row>
    <row r="3" spans="1:11" ht="34" x14ac:dyDescent="0.2">
      <c r="A3" s="41" t="s">
        <v>6</v>
      </c>
      <c r="B3" s="47">
        <v>0.3</v>
      </c>
      <c r="C3" s="43">
        <v>0.6</v>
      </c>
      <c r="D3" s="44">
        <v>0.3</v>
      </c>
      <c r="E3" s="45">
        <v>0.7</v>
      </c>
      <c r="F3" s="45">
        <v>0.3</v>
      </c>
      <c r="G3" s="45">
        <v>0.4285714285714286</v>
      </c>
      <c r="H3" s="45">
        <v>1</v>
      </c>
      <c r="I3" s="46">
        <v>-0.12857142857142861</v>
      </c>
      <c r="J3" s="46">
        <v>0.7</v>
      </c>
      <c r="K3" s="46">
        <v>0.27142857142857135</v>
      </c>
    </row>
    <row r="4" spans="1:11" ht="17" x14ac:dyDescent="0.2">
      <c r="A4" s="41" t="s">
        <v>7</v>
      </c>
      <c r="B4" s="48">
        <v>0.3</v>
      </c>
      <c r="C4" s="48">
        <v>0.7</v>
      </c>
      <c r="D4" s="44">
        <v>0.39999999999999997</v>
      </c>
      <c r="E4" s="45">
        <v>0.7</v>
      </c>
      <c r="F4" s="45">
        <v>0.3</v>
      </c>
      <c r="G4" s="45">
        <v>0.5714285714285714</v>
      </c>
      <c r="H4" s="45">
        <v>1.3333333333333333</v>
      </c>
      <c r="I4" s="46">
        <v>-0.27142857142857141</v>
      </c>
      <c r="J4" s="46">
        <v>0.7</v>
      </c>
      <c r="K4" s="46">
        <v>0.12857142857142856</v>
      </c>
    </row>
    <row r="5" spans="1:11" ht="17" x14ac:dyDescent="0.2">
      <c r="A5" s="49" t="s">
        <v>8</v>
      </c>
      <c r="B5" s="48">
        <v>0.7</v>
      </c>
      <c r="C5" s="48">
        <v>0.3</v>
      </c>
      <c r="D5" s="44">
        <v>-0.39999999999999997</v>
      </c>
      <c r="E5" s="45">
        <v>0.30000000000000004</v>
      </c>
      <c r="F5" s="45">
        <v>0.7</v>
      </c>
      <c r="G5" s="45">
        <v>-1.333333333333333</v>
      </c>
      <c r="H5" s="45">
        <v>-0.5714285714285714</v>
      </c>
      <c r="I5" s="46">
        <v>0.12857142857142856</v>
      </c>
      <c r="J5" s="46">
        <v>0.30000000000000004</v>
      </c>
      <c r="K5" s="46">
        <v>-1.033333333333333</v>
      </c>
    </row>
    <row r="6" spans="1:11" ht="34" x14ac:dyDescent="0.2">
      <c r="A6" s="49" t="s">
        <v>9</v>
      </c>
      <c r="B6" s="48">
        <v>0.7</v>
      </c>
      <c r="C6" s="48">
        <v>0.5</v>
      </c>
      <c r="D6" s="44">
        <v>-0.19999999999999996</v>
      </c>
      <c r="E6" s="45">
        <v>0.30000000000000004</v>
      </c>
      <c r="F6" s="45">
        <v>0.7</v>
      </c>
      <c r="G6" s="45">
        <v>-0.66666666666666641</v>
      </c>
      <c r="H6" s="45">
        <v>-0.28571428571428564</v>
      </c>
      <c r="I6" s="46">
        <v>0.41428571428571431</v>
      </c>
      <c r="J6" s="46">
        <v>0.30000000000000004</v>
      </c>
      <c r="K6" s="46">
        <v>-0.36666666666666636</v>
      </c>
    </row>
    <row r="7" spans="1:11" ht="34" x14ac:dyDescent="0.2">
      <c r="A7" s="49" t="s">
        <v>10</v>
      </c>
      <c r="B7" s="48">
        <v>0.999</v>
      </c>
      <c r="C7" s="48">
        <v>1E-3</v>
      </c>
      <c r="D7" s="44">
        <v>-0.998</v>
      </c>
      <c r="E7" s="45">
        <v>1.0000000000000009E-3</v>
      </c>
      <c r="F7" s="45">
        <v>0.999</v>
      </c>
      <c r="G7" s="45">
        <v>-997.99999999999909</v>
      </c>
      <c r="H7" s="45">
        <v>-0.99899899899899902</v>
      </c>
      <c r="I7" s="46">
        <v>1.0010010009775527E-6</v>
      </c>
      <c r="J7" s="46">
        <v>1.0000000000000009E-3</v>
      </c>
      <c r="K7" s="46">
        <v>-997.99899999999911</v>
      </c>
    </row>
    <row r="8" spans="1:11" ht="51" x14ac:dyDescent="0.2">
      <c r="A8" s="50" t="s">
        <v>11</v>
      </c>
      <c r="B8" s="48">
        <v>0.5</v>
      </c>
      <c r="C8" s="48">
        <v>1</v>
      </c>
      <c r="D8" s="44">
        <v>0.5</v>
      </c>
      <c r="E8" s="45">
        <v>0.5</v>
      </c>
      <c r="F8" s="45">
        <v>0.5</v>
      </c>
      <c r="G8" s="45">
        <v>1</v>
      </c>
      <c r="H8" s="45">
        <v>1</v>
      </c>
      <c r="I8" s="46">
        <v>-0.5</v>
      </c>
      <c r="J8" s="46">
        <v>0.5</v>
      </c>
      <c r="K8" s="46">
        <v>-0.5</v>
      </c>
    </row>
    <row r="9" spans="1:11" ht="34" x14ac:dyDescent="0.2">
      <c r="A9" s="50" t="s">
        <v>29</v>
      </c>
      <c r="B9" s="48">
        <v>0.5</v>
      </c>
      <c r="C9" s="48">
        <v>0.5</v>
      </c>
      <c r="D9" s="44">
        <v>0</v>
      </c>
      <c r="E9" s="45">
        <v>0.5</v>
      </c>
      <c r="F9" s="45">
        <v>0.5</v>
      </c>
      <c r="G9" s="45">
        <v>0</v>
      </c>
      <c r="H9" s="45">
        <v>0</v>
      </c>
      <c r="I9" s="46">
        <v>0.5</v>
      </c>
      <c r="J9" s="46">
        <v>0.5</v>
      </c>
      <c r="K9" s="46">
        <v>0.5</v>
      </c>
    </row>
    <row r="10" spans="1:11" ht="51" x14ac:dyDescent="0.2">
      <c r="A10" s="51" t="s">
        <v>12</v>
      </c>
      <c r="B10" s="52">
        <v>0.5</v>
      </c>
      <c r="C10" s="52">
        <v>0</v>
      </c>
      <c r="D10" s="53">
        <v>-0.5</v>
      </c>
      <c r="E10" s="54">
        <v>0.5</v>
      </c>
      <c r="F10" s="54">
        <v>0.5</v>
      </c>
      <c r="G10" s="54">
        <v>-1</v>
      </c>
      <c r="H10" s="54">
        <v>-1</v>
      </c>
      <c r="I10" s="55">
        <v>-0.5</v>
      </c>
      <c r="J10" s="55">
        <v>0.5</v>
      </c>
      <c r="K10" s="55">
        <v>-0.5</v>
      </c>
    </row>
    <row r="11" spans="1:11" ht="17" x14ac:dyDescent="0.2">
      <c r="A11" s="56" t="s">
        <v>13</v>
      </c>
      <c r="B11" s="57">
        <v>0.22446666700000001</v>
      </c>
      <c r="C11" s="57">
        <v>0.6794</v>
      </c>
      <c r="D11" s="58">
        <v>0.454933333</v>
      </c>
      <c r="E11" s="59">
        <v>0.77553333300000005</v>
      </c>
      <c r="F11" s="59">
        <v>0.22446666700000001</v>
      </c>
      <c r="G11" s="59">
        <v>0.58660706592736478</v>
      </c>
      <c r="H11" s="59">
        <v>2.0267300222353279</v>
      </c>
      <c r="I11" s="60">
        <v>-1.802263355235328</v>
      </c>
      <c r="J11" s="60">
        <v>0.77553333300000005</v>
      </c>
      <c r="K11" s="61">
        <v>0.18892626707263527</v>
      </c>
    </row>
  </sheetData>
  <conditionalFormatting sqref="G1:G11">
    <cfRule type="cellIs" dxfId="9" priority="5" operator="greaterThan">
      <formula>0</formula>
    </cfRule>
  </conditionalFormatting>
  <conditionalFormatting sqref="H2:H11">
    <cfRule type="cellIs" dxfId="8" priority="4" operator="lessThan">
      <formula>0</formula>
    </cfRule>
  </conditionalFormatting>
  <conditionalFormatting sqref="I1:I11">
    <cfRule type="cellIs" dxfId="7" priority="3" operator="greaterThan">
      <formula>0</formula>
    </cfRule>
  </conditionalFormatting>
  <conditionalFormatting sqref="K1:K11">
    <cfRule type="cellIs" dxfId="6" priority="2" stopIfTrue="1" operator="greaterThan">
      <formula>0</formula>
    </cfRule>
  </conditionalFormatting>
  <conditionalFormatting sqref="H1">
    <cfRule type="cellIs" dxfId="5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0F57-62DC-A740-8824-264D535ED509}">
  <dimension ref="A1:J11"/>
  <sheetViews>
    <sheetView tabSelected="1" workbookViewId="0">
      <selection activeCell="J2" sqref="J2"/>
    </sheetView>
  </sheetViews>
  <sheetFormatPr baseColWidth="10" defaultRowHeight="16" x14ac:dyDescent="0.2"/>
  <cols>
    <col min="1" max="1" width="19.33203125" customWidth="1"/>
    <col min="2" max="2" width="9" customWidth="1"/>
    <col min="3" max="3" width="11" bestFit="1" customWidth="1"/>
    <col min="4" max="6" width="11.6640625" bestFit="1" customWidth="1"/>
    <col min="7" max="7" width="14.6640625" customWidth="1"/>
    <col min="8" max="8" width="13.83203125" customWidth="1"/>
    <col min="9" max="9" width="16.33203125" customWidth="1"/>
    <col min="10" max="10" width="16.6640625" customWidth="1"/>
  </cols>
  <sheetData>
    <row r="1" spans="1:10" ht="68" customHeight="1" x14ac:dyDescent="0.2">
      <c r="A1" s="62" t="s">
        <v>32</v>
      </c>
      <c r="B1" s="62" t="s">
        <v>28</v>
      </c>
      <c r="C1" s="62" t="s">
        <v>42</v>
      </c>
      <c r="D1" s="62" t="s">
        <v>1</v>
      </c>
      <c r="E1" s="62" t="s">
        <v>37</v>
      </c>
      <c r="F1" s="62" t="s">
        <v>38</v>
      </c>
      <c r="G1" s="62" t="s">
        <v>39</v>
      </c>
      <c r="H1" s="62" t="s">
        <v>40</v>
      </c>
      <c r="I1" s="62" t="s">
        <v>41</v>
      </c>
      <c r="J1" s="62" t="s">
        <v>43</v>
      </c>
    </row>
    <row r="2" spans="1:10" ht="24" customHeight="1" x14ac:dyDescent="0.2">
      <c r="A2" s="62" t="s">
        <v>5</v>
      </c>
      <c r="B2" s="62">
        <v>1E-3</v>
      </c>
      <c r="C2" s="62">
        <v>0.999</v>
      </c>
      <c r="D2" s="62">
        <v>0.998</v>
      </c>
      <c r="E2" s="62">
        <v>0.999</v>
      </c>
      <c r="F2" s="62">
        <v>1E-3</v>
      </c>
      <c r="G2" s="62">
        <v>0.99899899899899902</v>
      </c>
      <c r="H2" s="62">
        <v>998</v>
      </c>
      <c r="I2" s="62">
        <v>-0.99799899899899902</v>
      </c>
      <c r="J2" s="62">
        <v>1.0010010009775527E-6</v>
      </c>
    </row>
    <row r="3" spans="1:10" ht="17" customHeight="1" x14ac:dyDescent="0.2">
      <c r="A3" s="62" t="s">
        <v>6</v>
      </c>
      <c r="B3" s="62">
        <v>0.3</v>
      </c>
      <c r="C3" s="62">
        <v>0.6</v>
      </c>
      <c r="D3" s="62">
        <v>0.3</v>
      </c>
      <c r="E3" s="62">
        <v>0.7</v>
      </c>
      <c r="F3" s="62">
        <v>0.3</v>
      </c>
      <c r="G3" s="62">
        <v>0.4285714285714286</v>
      </c>
      <c r="H3" s="62">
        <v>1</v>
      </c>
      <c r="I3" s="62">
        <v>-0.12857142857142861</v>
      </c>
      <c r="J3" s="62">
        <v>0.27142857142857135</v>
      </c>
    </row>
    <row r="4" spans="1:10" ht="17" x14ac:dyDescent="0.2">
      <c r="A4" s="62" t="s">
        <v>7</v>
      </c>
      <c r="B4" s="62">
        <v>0.3</v>
      </c>
      <c r="C4" s="62">
        <v>0.7</v>
      </c>
      <c r="D4" s="62">
        <v>0.39999999999999997</v>
      </c>
      <c r="E4" s="62">
        <v>0.7</v>
      </c>
      <c r="F4" s="62">
        <v>0.3</v>
      </c>
      <c r="G4" s="62">
        <v>0.5714285714285714</v>
      </c>
      <c r="H4" s="62">
        <v>1.3333333333333333</v>
      </c>
      <c r="I4" s="62">
        <v>-0.27142857142857141</v>
      </c>
      <c r="J4" s="62">
        <v>0.12857142857142856</v>
      </c>
    </row>
    <row r="5" spans="1:10" ht="17" x14ac:dyDescent="0.2">
      <c r="A5" s="62" t="s">
        <v>8</v>
      </c>
      <c r="B5" s="62">
        <v>0.7</v>
      </c>
      <c r="C5" s="62">
        <v>0.3</v>
      </c>
      <c r="D5" s="62">
        <v>-0.39999999999999997</v>
      </c>
      <c r="E5" s="62">
        <v>0.30000000000000004</v>
      </c>
      <c r="F5" s="62">
        <v>0.7</v>
      </c>
      <c r="G5" s="62">
        <v>-1.333333333333333</v>
      </c>
      <c r="H5" s="62">
        <v>-0.5714285714285714</v>
      </c>
      <c r="I5" s="62">
        <v>0.12857142857142856</v>
      </c>
      <c r="J5" s="62">
        <v>-1.033333333333333</v>
      </c>
    </row>
    <row r="6" spans="1:10" ht="19" customHeight="1" x14ac:dyDescent="0.2">
      <c r="A6" s="62" t="s">
        <v>9</v>
      </c>
      <c r="B6" s="62">
        <v>0.7</v>
      </c>
      <c r="C6" s="62">
        <v>0.5</v>
      </c>
      <c r="D6" s="62">
        <v>-0.19999999999999996</v>
      </c>
      <c r="E6" s="62">
        <v>0.30000000000000004</v>
      </c>
      <c r="F6" s="62">
        <v>0.7</v>
      </c>
      <c r="G6" s="62">
        <v>-0.66666666666666641</v>
      </c>
      <c r="H6" s="62">
        <v>-0.28571428571428564</v>
      </c>
      <c r="I6" s="62">
        <v>0.41428571428571431</v>
      </c>
      <c r="J6" s="62">
        <v>-0.36666666666666636</v>
      </c>
    </row>
    <row r="7" spans="1:10" ht="20" customHeight="1" x14ac:dyDescent="0.2">
      <c r="A7" s="62" t="s">
        <v>10</v>
      </c>
      <c r="B7" s="62">
        <v>0.999</v>
      </c>
      <c r="C7" s="62">
        <v>1E-3</v>
      </c>
      <c r="D7" s="62">
        <v>-0.998</v>
      </c>
      <c r="E7" s="62">
        <v>1.0000000000000009E-3</v>
      </c>
      <c r="F7" s="62">
        <v>0.999</v>
      </c>
      <c r="G7" s="62">
        <v>-997.99999999999909</v>
      </c>
      <c r="H7" s="62">
        <v>-0.99899899899899902</v>
      </c>
      <c r="I7" s="62">
        <v>1.0010010009775527E-6</v>
      </c>
      <c r="J7" s="62">
        <v>-997.99899999999911</v>
      </c>
    </row>
    <row r="8" spans="1:10" ht="31" customHeight="1" x14ac:dyDescent="0.2">
      <c r="A8" s="62" t="s">
        <v>11</v>
      </c>
      <c r="B8" s="62">
        <v>0.5</v>
      </c>
      <c r="C8" s="62">
        <v>1</v>
      </c>
      <c r="D8" s="62">
        <v>0.5</v>
      </c>
      <c r="E8" s="62">
        <v>0.5</v>
      </c>
      <c r="F8" s="62">
        <v>0.5</v>
      </c>
      <c r="G8" s="62">
        <v>1</v>
      </c>
      <c r="H8" s="62">
        <v>1</v>
      </c>
      <c r="I8" s="62">
        <v>-0.5</v>
      </c>
      <c r="J8" s="62">
        <v>-0.5</v>
      </c>
    </row>
    <row r="9" spans="1:10" ht="17" x14ac:dyDescent="0.2">
      <c r="A9" s="62" t="s">
        <v>29</v>
      </c>
      <c r="B9" s="62">
        <v>0.5</v>
      </c>
      <c r="C9" s="62">
        <v>0.5</v>
      </c>
      <c r="D9" s="62">
        <v>0</v>
      </c>
      <c r="E9" s="62">
        <v>0.5</v>
      </c>
      <c r="F9" s="62">
        <v>0.5</v>
      </c>
      <c r="G9" s="62">
        <v>0</v>
      </c>
      <c r="H9" s="62">
        <v>0</v>
      </c>
      <c r="I9" s="62">
        <v>0.5</v>
      </c>
      <c r="J9" s="62">
        <v>0.5</v>
      </c>
    </row>
    <row r="10" spans="1:10" ht="33" customHeight="1" x14ac:dyDescent="0.2">
      <c r="A10" s="62" t="s">
        <v>12</v>
      </c>
      <c r="B10" s="62">
        <v>0.5</v>
      </c>
      <c r="C10" s="62">
        <v>0</v>
      </c>
      <c r="D10" s="62">
        <v>-0.5</v>
      </c>
      <c r="E10" s="62">
        <v>0.5</v>
      </c>
      <c r="F10" s="62">
        <v>0.5</v>
      </c>
      <c r="G10" s="62">
        <v>-1</v>
      </c>
      <c r="H10" s="62">
        <v>-1</v>
      </c>
      <c r="I10" s="62">
        <v>-0.5</v>
      </c>
      <c r="J10" s="62">
        <v>-0.5</v>
      </c>
    </row>
    <row r="11" spans="1:10" ht="17" x14ac:dyDescent="0.2">
      <c r="A11" s="62" t="s">
        <v>13</v>
      </c>
      <c r="B11" s="62">
        <v>0.22446666700000001</v>
      </c>
      <c r="C11" s="62">
        <v>0.6794</v>
      </c>
      <c r="D11" s="62">
        <v>0.454933333</v>
      </c>
      <c r="E11" s="62">
        <v>0.77553333300000005</v>
      </c>
      <c r="F11" s="62">
        <v>0.22446666700000001</v>
      </c>
      <c r="G11" s="62">
        <v>0.58660706592736478</v>
      </c>
      <c r="H11" s="62">
        <v>2.0267300222353279</v>
      </c>
      <c r="I11" s="62">
        <v>-1.802263355235328</v>
      </c>
      <c r="J11" s="62">
        <v>0.18892626707263527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Ng</dc:creator>
  <cp:lastModifiedBy>Christine Ng</cp:lastModifiedBy>
  <dcterms:created xsi:type="dcterms:W3CDTF">2024-04-24T19:51:13Z</dcterms:created>
  <dcterms:modified xsi:type="dcterms:W3CDTF">2025-12-20T02:03:03Z</dcterms:modified>
</cp:coreProperties>
</file>