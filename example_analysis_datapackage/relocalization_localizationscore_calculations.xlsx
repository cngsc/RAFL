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ineng/Library/CloudStorage/GoogleDrive-cngsc@stanford.edu/My Drive/Banik/Publications/NATURE_PROT_mar2025/REVISION/example_analysis_datapackage/"/>
    </mc:Choice>
  </mc:AlternateContent>
  <xr:revisionPtr revIDLastSave="0" documentId="13_ncr:1_{374C235B-24C9-3847-91DB-295C9C02395E}" xr6:coauthVersionLast="47" xr6:coauthVersionMax="47" xr10:uidLastSave="{00000000-0000-0000-0000-000000000000}"/>
  <bookViews>
    <workbookView xWindow="40640" yWindow="500" windowWidth="23200" windowHeight="18940" xr2:uid="{138A75E6-DC9F-4641-9962-F235577FCBDA}"/>
  </bookViews>
  <sheets>
    <sheet name="GFP (NESs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F5" i="1" l="1"/>
  <c r="D2" i="1"/>
  <c r="F12" i="1"/>
  <c r="E12" i="1"/>
  <c r="D12" i="1"/>
  <c r="F11" i="1"/>
  <c r="E11" i="1"/>
  <c r="D11" i="1"/>
  <c r="F10" i="1"/>
  <c r="E10" i="1"/>
  <c r="D10" i="1"/>
  <c r="F9" i="1"/>
  <c r="E9" i="1"/>
  <c r="D9" i="1"/>
  <c r="G9" i="1" s="1"/>
  <c r="F8" i="1"/>
  <c r="E8" i="1"/>
  <c r="D8" i="1"/>
  <c r="F7" i="1"/>
  <c r="E7" i="1"/>
  <c r="D7" i="1"/>
  <c r="F6" i="1"/>
  <c r="E6" i="1"/>
  <c r="D6" i="1"/>
  <c r="E5" i="1"/>
  <c r="D5" i="1"/>
  <c r="F4" i="1"/>
  <c r="E4" i="1"/>
  <c r="D4" i="1"/>
  <c r="F3" i="1"/>
  <c r="E3" i="1"/>
  <c r="D3" i="1"/>
  <c r="F2" i="1"/>
  <c r="J9" i="1" l="1"/>
  <c r="G2" i="1"/>
  <c r="J2" i="1" s="1"/>
  <c r="H5" i="1"/>
  <c r="G5" i="1"/>
  <c r="J5" i="1" s="1"/>
  <c r="H11" i="1"/>
  <c r="I11" i="1" s="1"/>
  <c r="G3" i="1"/>
  <c r="J3" i="1" s="1"/>
  <c r="H6" i="1"/>
  <c r="I9" i="1"/>
  <c r="G4" i="1"/>
  <c r="J4" i="1" s="1"/>
  <c r="G6" i="1"/>
  <c r="J6" i="1" s="1"/>
  <c r="G7" i="1"/>
  <c r="J7" i="1" s="1"/>
  <c r="G8" i="1"/>
  <c r="J8" i="1" s="1"/>
  <c r="G10" i="1"/>
  <c r="J10" i="1" s="1"/>
  <c r="G11" i="1"/>
  <c r="J11" i="1" s="1"/>
  <c r="G12" i="1"/>
  <c r="J12" i="1" s="1"/>
  <c r="H2" i="1"/>
  <c r="H3" i="1"/>
  <c r="H4" i="1"/>
  <c r="H7" i="1"/>
  <c r="H8" i="1"/>
  <c r="H9" i="1"/>
  <c r="H10" i="1"/>
  <c r="H12" i="1"/>
  <c r="I6" i="1" l="1"/>
  <c r="I2" i="1"/>
  <c r="I3" i="1"/>
  <c r="I12" i="1"/>
  <c r="I4" i="1"/>
  <c r="I10" i="1"/>
  <c r="I7" i="1"/>
  <c r="I8" i="1"/>
  <c r="I5" i="1"/>
</calcChain>
</file>

<file path=xl/sharedStrings.xml><?xml version="1.0" encoding="utf-8"?>
<sst xmlns="http://schemas.openxmlformats.org/spreadsheetml/2006/main" count="21" uniqueCount="21">
  <si>
    <t>delta (final-dmso)</t>
  </si>
  <si>
    <t>complete import</t>
  </si>
  <si>
    <t>milder import</t>
  </si>
  <si>
    <t>import</t>
  </si>
  <si>
    <t>export</t>
  </si>
  <si>
    <t>milder export</t>
  </si>
  <si>
    <t>complete export</t>
  </si>
  <si>
    <t>diffuse to complete import</t>
  </si>
  <si>
    <t>diffuse to complete export</t>
  </si>
  <si>
    <t>ER MEK1</t>
  </si>
  <si>
    <t>ER HIV-1 REV</t>
  </si>
  <si>
    <r>
      <rPr>
        <sz val="12"/>
        <color rgb="FFFF0000"/>
        <rFont val="Calibri (Body)"/>
      </rPr>
      <t>cyto proteins follow red</t>
    </r>
    <r>
      <rPr>
        <sz val="12"/>
        <color theme="1"/>
        <rFont val="Aptos Narrow"/>
        <family val="2"/>
        <scheme val="minor"/>
      </rPr>
      <t xml:space="preserve">, </t>
    </r>
    <r>
      <rPr>
        <sz val="12"/>
        <color rgb="FFFFC000"/>
        <rFont val="Calibri (Body)"/>
      </rPr>
      <t>nuclear proteins follow yellow</t>
    </r>
  </si>
  <si>
    <t>DMSO</t>
  </si>
  <si>
    <t>diffuse no movement</t>
  </si>
  <si>
    <t>|1 - DMSO|</t>
  </si>
  <si>
    <t>|0 - DMSO|</t>
  </si>
  <si>
    <t>Cytoplasmic  protein relocalizability</t>
  </si>
  <si>
    <t>Nuclear protein relocalizabilty</t>
  </si>
  <si>
    <t>Nuclear protein localization score</t>
  </si>
  <si>
    <t>Final</t>
  </si>
  <si>
    <t>Cytoplasmic protein localization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</si>
</sst>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rgb="FFFF0000"/>
      <name val="Calibri (Body)"/>
    </font>
    <font>
      <sz val="12"/>
      <color theme="1"/>
      <name val="Calibri"/>
      <family val="2"/>
    </font>
    <font>
      <sz val="12"/>
      <color rgb="FFFFC000"/>
      <name val="Calibri (Body)"/>
    </font>
    <font>
      <sz val="12"/>
      <color rgb="FF75717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BDD7E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2C0C4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D78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theme="1" tint="0.249977111117893"/>
      </bottom>
      <diagonal/>
    </border>
    <border>
      <left/>
      <right style="thin">
        <color theme="1" tint="0.249977111117893"/>
      </right>
      <top/>
      <bottom/>
      <diagonal/>
    </border>
    <border>
      <left/>
      <right style="thin">
        <color theme="1" tint="0.249977111117893"/>
      </right>
      <top/>
      <bottom style="thin">
        <color theme="1" tint="0.249977111117893"/>
      </bottom>
      <diagonal/>
    </border>
    <border>
      <left style="thin">
        <color theme="1" tint="0.249977111117893"/>
      </left>
      <right style="thin">
        <color theme="1" tint="0.249977111117893"/>
      </right>
      <top/>
      <bottom/>
      <diagonal/>
    </border>
    <border>
      <left style="thin">
        <color theme="1" tint="0.249977111117893"/>
      </left>
      <right style="thin">
        <color theme="1" tint="0.249977111117893"/>
      </right>
      <top/>
      <bottom style="thin">
        <color theme="1" tint="0.249977111117893"/>
      </bottom>
      <diagonal/>
    </border>
    <border>
      <left/>
      <right style="thin">
        <color theme="1" tint="0.249977111117893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0" fillId="7" borderId="3" xfId="0" applyFill="1" applyBorder="1" applyAlignment="1">
      <alignment horizontal="left" wrapText="1"/>
    </xf>
    <xf numFmtId="0" fontId="0" fillId="7" borderId="5" xfId="0" applyFill="1" applyBorder="1" applyAlignment="1">
      <alignment horizontal="left" wrapText="1"/>
    </xf>
    <xf numFmtId="0" fontId="4" fillId="0" borderId="4" xfId="0" applyFont="1" applyBorder="1"/>
    <xf numFmtId="0" fontId="4" fillId="0" borderId="5" xfId="0" applyFont="1" applyBorder="1"/>
    <xf numFmtId="0" fontId="2" fillId="2" borderId="4" xfId="0" applyFont="1" applyFill="1" applyBorder="1"/>
    <xf numFmtId="0" fontId="0" fillId="0" borderId="4" xfId="0" applyBorder="1"/>
    <xf numFmtId="0" fontId="0" fillId="0" borderId="5" xfId="0" applyBorder="1" applyAlignment="1">
      <alignment horizontal="left" wrapText="1"/>
    </xf>
    <xf numFmtId="0" fontId="2" fillId="3" borderId="4" xfId="0" applyFont="1" applyFill="1" applyBorder="1"/>
    <xf numFmtId="0" fontId="2" fillId="0" borderId="4" xfId="0" applyFont="1" applyBorder="1"/>
    <xf numFmtId="0" fontId="2" fillId="0" borderId="5" xfId="0" applyFont="1" applyBorder="1"/>
    <xf numFmtId="0" fontId="4" fillId="0" borderId="2" xfId="0" applyFont="1" applyBorder="1"/>
    <xf numFmtId="0" fontId="4" fillId="0" borderId="3" xfId="0" applyFont="1" applyBorder="1"/>
    <xf numFmtId="0" fontId="2" fillId="2" borderId="2" xfId="0" applyFont="1" applyFill="1" applyBorder="1"/>
    <xf numFmtId="0" fontId="0" fillId="0" borderId="2" xfId="0" applyBorder="1"/>
    <xf numFmtId="0" fontId="2" fillId="0" borderId="6" xfId="0" applyFont="1" applyBorder="1" applyAlignment="1">
      <alignment wrapText="1"/>
    </xf>
    <xf numFmtId="0" fontId="4" fillId="5" borderId="2" xfId="0" applyFont="1" applyFill="1" applyBorder="1" applyAlignment="1">
      <alignment wrapText="1"/>
    </xf>
    <xf numFmtId="0" fontId="4" fillId="6" borderId="2" xfId="0" applyFont="1" applyFill="1" applyBorder="1" applyAlignment="1">
      <alignment wrapText="1"/>
    </xf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2" fillId="4" borderId="2" xfId="0" applyFont="1" applyFill="1" applyBorder="1" applyAlignment="1">
      <alignment wrapText="1"/>
    </xf>
    <xf numFmtId="0" fontId="2" fillId="4" borderId="2" xfId="0" applyFont="1" applyFill="1" applyBorder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D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CF0BF-0739-8940-A782-CC43B782B5B1}">
  <dimension ref="A1:K12"/>
  <sheetViews>
    <sheetView tabSelected="1" zoomScale="111" workbookViewId="0">
      <selection activeCell="C18" sqref="C18"/>
    </sheetView>
  </sheetViews>
  <sheetFormatPr baseColWidth="10" defaultRowHeight="16" x14ac:dyDescent="0.2"/>
  <cols>
    <col min="1" max="1" width="16.83203125" style="16" customWidth="1"/>
    <col min="2" max="2" width="10.83203125" style="16"/>
    <col min="3" max="6" width="10.83203125" style="8"/>
    <col min="7" max="7" width="15.5" style="8" customWidth="1"/>
    <col min="8" max="8" width="14" style="8" customWidth="1"/>
    <col min="9" max="9" width="15.5" style="8" customWidth="1"/>
    <col min="10" max="10" width="13.1640625" style="8" customWidth="1"/>
  </cols>
  <sheetData>
    <row r="1" spans="1:11" s="2" customFormat="1" ht="79" customHeight="1" x14ac:dyDescent="0.2">
      <c r="A1" s="17" t="s">
        <v>11</v>
      </c>
      <c r="B1" s="3" t="s">
        <v>12</v>
      </c>
      <c r="C1" s="4" t="s">
        <v>19</v>
      </c>
      <c r="D1" s="9" t="s">
        <v>0</v>
      </c>
      <c r="E1" s="9" t="s">
        <v>14</v>
      </c>
      <c r="F1" s="9" t="s">
        <v>15</v>
      </c>
      <c r="G1" s="9" t="s">
        <v>16</v>
      </c>
      <c r="H1" s="9" t="s">
        <v>17</v>
      </c>
      <c r="I1" s="9" t="s">
        <v>18</v>
      </c>
      <c r="J1" s="9" t="s">
        <v>20</v>
      </c>
    </row>
    <row r="2" spans="1:11" ht="19" customHeight="1" x14ac:dyDescent="0.2">
      <c r="A2" s="18" t="s">
        <v>1</v>
      </c>
      <c r="B2" s="13">
        <v>1E-3</v>
      </c>
      <c r="C2" s="5">
        <v>0.999</v>
      </c>
      <c r="D2" s="5">
        <f>C2-B2</f>
        <v>0.998</v>
      </c>
      <c r="E2" s="5">
        <f>ABS(1-B2)</f>
        <v>0.999</v>
      </c>
      <c r="F2" s="5">
        <f>ABS(0-B2)</f>
        <v>1E-3</v>
      </c>
      <c r="G2" s="5">
        <f t="shared" ref="G2:G12" si="0">D2/E2</f>
        <v>0.99899899899899902</v>
      </c>
      <c r="H2" s="5">
        <f t="shared" ref="H2:H12" si="1">D2/F2</f>
        <v>998</v>
      </c>
      <c r="I2" s="11">
        <f>B2-ABS(G2)</f>
        <v>-0.99799899899899902</v>
      </c>
      <c r="J2" s="11">
        <f>E2-ABS(G2)</f>
        <v>1.0010010009775527E-6</v>
      </c>
    </row>
    <row r="3" spans="1:11" ht="18" customHeight="1" x14ac:dyDescent="0.2">
      <c r="A3" s="18" t="s">
        <v>2</v>
      </c>
      <c r="B3" s="13">
        <v>0.3</v>
      </c>
      <c r="C3" s="5">
        <v>0.6</v>
      </c>
      <c r="D3" s="5">
        <f>C3-B3</f>
        <v>0.3</v>
      </c>
      <c r="E3" s="5">
        <f t="shared" ref="E3:E12" si="2">ABS(1-B3)</f>
        <v>0.7</v>
      </c>
      <c r="F3" s="5">
        <f t="shared" ref="F3:F12" si="3">ABS(0-B3)</f>
        <v>0.3</v>
      </c>
      <c r="G3" s="5">
        <f t="shared" si="0"/>
        <v>0.4285714285714286</v>
      </c>
      <c r="H3" s="5">
        <f t="shared" si="1"/>
        <v>1</v>
      </c>
      <c r="I3" s="11">
        <f>B3-ABS(G3)</f>
        <v>-0.12857142857142861</v>
      </c>
      <c r="J3" s="11">
        <f t="shared" ref="J3:J12" si="4">E3-ABS(G3)</f>
        <v>0.27142857142857135</v>
      </c>
    </row>
    <row r="4" spans="1:11" ht="17" x14ac:dyDescent="0.2">
      <c r="A4" s="18" t="s">
        <v>3</v>
      </c>
      <c r="B4" s="13">
        <v>0.3</v>
      </c>
      <c r="C4" s="5">
        <v>0.7</v>
      </c>
      <c r="D4" s="5">
        <f t="shared" ref="D4:D12" si="5">C4-B4</f>
        <v>0.39999999999999997</v>
      </c>
      <c r="E4" s="5">
        <f t="shared" si="2"/>
        <v>0.7</v>
      </c>
      <c r="F4" s="5">
        <f t="shared" si="3"/>
        <v>0.3</v>
      </c>
      <c r="G4" s="5">
        <f t="shared" si="0"/>
        <v>0.5714285714285714</v>
      </c>
      <c r="H4" s="5">
        <f t="shared" si="1"/>
        <v>1.3333333333333333</v>
      </c>
      <c r="I4" s="11">
        <f>B4-ABS(G4)</f>
        <v>-0.27142857142857141</v>
      </c>
      <c r="J4" s="11">
        <f t="shared" si="4"/>
        <v>0.12857142857142856</v>
      </c>
    </row>
    <row r="5" spans="1:11" ht="17" x14ac:dyDescent="0.2">
      <c r="A5" s="19" t="s">
        <v>4</v>
      </c>
      <c r="B5" s="13">
        <v>0.7</v>
      </c>
      <c r="C5" s="5">
        <v>0.3</v>
      </c>
      <c r="D5" s="5">
        <f t="shared" si="5"/>
        <v>-0.39999999999999997</v>
      </c>
      <c r="E5" s="5">
        <f t="shared" si="2"/>
        <v>0.30000000000000004</v>
      </c>
      <c r="F5" s="5">
        <f>ABS(0-B5)</f>
        <v>0.7</v>
      </c>
      <c r="G5" s="5">
        <f t="shared" si="0"/>
        <v>-1.333333333333333</v>
      </c>
      <c r="H5" s="5">
        <f t="shared" si="1"/>
        <v>-0.5714285714285714</v>
      </c>
      <c r="I5" s="11">
        <f>B5-ABS(H5)</f>
        <v>0.12857142857142856</v>
      </c>
      <c r="J5" s="11">
        <f t="shared" si="4"/>
        <v>-1.033333333333333</v>
      </c>
      <c r="K5" s="1"/>
    </row>
    <row r="6" spans="1:11" ht="16" customHeight="1" x14ac:dyDescent="0.2">
      <c r="A6" s="19" t="s">
        <v>5</v>
      </c>
      <c r="B6" s="13">
        <v>0.7</v>
      </c>
      <c r="C6" s="5">
        <v>0.5</v>
      </c>
      <c r="D6" s="5">
        <f t="shared" si="5"/>
        <v>-0.19999999999999996</v>
      </c>
      <c r="E6" s="5">
        <f t="shared" si="2"/>
        <v>0.30000000000000004</v>
      </c>
      <c r="F6" s="5">
        <f t="shared" si="3"/>
        <v>0.7</v>
      </c>
      <c r="G6" s="5">
        <f t="shared" si="0"/>
        <v>-0.66666666666666641</v>
      </c>
      <c r="H6" s="5">
        <f t="shared" si="1"/>
        <v>-0.28571428571428564</v>
      </c>
      <c r="I6" s="11">
        <f>B6-ABS(H6)</f>
        <v>0.41428571428571431</v>
      </c>
      <c r="J6" s="11">
        <f t="shared" si="4"/>
        <v>-0.36666666666666636</v>
      </c>
    </row>
    <row r="7" spans="1:11" ht="17" customHeight="1" x14ac:dyDescent="0.2">
      <c r="A7" s="19" t="s">
        <v>6</v>
      </c>
      <c r="B7" s="13">
        <v>0.999</v>
      </c>
      <c r="C7" s="5">
        <v>1E-3</v>
      </c>
      <c r="D7" s="5">
        <f t="shared" si="5"/>
        <v>-0.998</v>
      </c>
      <c r="E7" s="5">
        <f t="shared" si="2"/>
        <v>1.0000000000000009E-3</v>
      </c>
      <c r="F7" s="5">
        <f t="shared" si="3"/>
        <v>0.999</v>
      </c>
      <c r="G7" s="5">
        <f t="shared" si="0"/>
        <v>-997.99999999999909</v>
      </c>
      <c r="H7" s="5">
        <f t="shared" si="1"/>
        <v>-0.99899899899899902</v>
      </c>
      <c r="I7" s="11">
        <f>B7-ABS(H7)</f>
        <v>1.0010010009775527E-6</v>
      </c>
      <c r="J7" s="11">
        <f t="shared" si="4"/>
        <v>-997.99899999999911</v>
      </c>
    </row>
    <row r="8" spans="1:11" ht="29" customHeight="1" x14ac:dyDescent="0.2">
      <c r="A8" s="20" t="s">
        <v>7</v>
      </c>
      <c r="B8" s="13">
        <v>0.5</v>
      </c>
      <c r="C8" s="5">
        <v>1</v>
      </c>
      <c r="D8" s="5">
        <f t="shared" si="5"/>
        <v>0.5</v>
      </c>
      <c r="E8" s="5">
        <f t="shared" si="2"/>
        <v>0.5</v>
      </c>
      <c r="F8" s="5">
        <f t="shared" si="3"/>
        <v>0.5</v>
      </c>
      <c r="G8" s="5">
        <f t="shared" si="0"/>
        <v>1</v>
      </c>
      <c r="H8" s="5">
        <f t="shared" si="1"/>
        <v>1</v>
      </c>
      <c r="I8" s="11">
        <f>B8-ABS(G8)</f>
        <v>-0.5</v>
      </c>
      <c r="J8" s="11">
        <f t="shared" si="4"/>
        <v>-0.5</v>
      </c>
    </row>
    <row r="9" spans="1:11" ht="14" customHeight="1" x14ac:dyDescent="0.2">
      <c r="A9" s="20" t="s">
        <v>13</v>
      </c>
      <c r="B9" s="13">
        <v>0.5</v>
      </c>
      <c r="C9" s="5">
        <v>0.5</v>
      </c>
      <c r="D9" s="5">
        <f t="shared" si="5"/>
        <v>0</v>
      </c>
      <c r="E9" s="5">
        <f t="shared" si="2"/>
        <v>0.5</v>
      </c>
      <c r="F9" s="5">
        <f t="shared" si="3"/>
        <v>0.5</v>
      </c>
      <c r="G9" s="5">
        <f t="shared" si="0"/>
        <v>0</v>
      </c>
      <c r="H9" s="5">
        <f t="shared" si="1"/>
        <v>0</v>
      </c>
      <c r="I9" s="11">
        <f>B9-ABS(G9)</f>
        <v>0.5</v>
      </c>
      <c r="J9" s="11">
        <f t="shared" si="4"/>
        <v>0.5</v>
      </c>
    </row>
    <row r="10" spans="1:11" s="1" customFormat="1" ht="31" customHeight="1" x14ac:dyDescent="0.2">
      <c r="A10" s="21" t="s">
        <v>8</v>
      </c>
      <c r="B10" s="14">
        <v>0.5</v>
      </c>
      <c r="C10" s="6">
        <v>0</v>
      </c>
      <c r="D10" s="6">
        <f t="shared" si="5"/>
        <v>-0.5</v>
      </c>
      <c r="E10" s="6">
        <f t="shared" si="2"/>
        <v>0.5</v>
      </c>
      <c r="F10" s="6">
        <f t="shared" si="3"/>
        <v>0.5</v>
      </c>
      <c r="G10" s="6">
        <f t="shared" si="0"/>
        <v>-1</v>
      </c>
      <c r="H10" s="6">
        <f t="shared" si="1"/>
        <v>-1</v>
      </c>
      <c r="I10" s="12">
        <f t="shared" ref="I10:I12" si="6">B10-ABS(H10)</f>
        <v>-0.5</v>
      </c>
      <c r="J10" s="11">
        <f t="shared" si="4"/>
        <v>-0.5</v>
      </c>
    </row>
    <row r="11" spans="1:11" ht="19" customHeight="1" x14ac:dyDescent="0.2">
      <c r="A11" s="22" t="s">
        <v>9</v>
      </c>
      <c r="B11" s="15">
        <v>0.22446666700000001</v>
      </c>
      <c r="C11" s="7">
        <v>0.6794</v>
      </c>
      <c r="D11" s="10">
        <f t="shared" si="5"/>
        <v>0.454933333</v>
      </c>
      <c r="E11" s="5">
        <f t="shared" si="2"/>
        <v>0.77553333300000005</v>
      </c>
      <c r="F11" s="5">
        <f t="shared" si="3"/>
        <v>0.22446666700000001</v>
      </c>
      <c r="G11" s="5">
        <f t="shared" si="0"/>
        <v>0.58660706592736478</v>
      </c>
      <c r="H11" s="5">
        <f t="shared" si="1"/>
        <v>2.0267300222353279</v>
      </c>
      <c r="I11" s="11">
        <f t="shared" si="6"/>
        <v>-1.802263355235328</v>
      </c>
      <c r="J11" s="11">
        <f t="shared" si="4"/>
        <v>0.18892626707263527</v>
      </c>
    </row>
    <row r="12" spans="1:11" ht="18" customHeight="1" x14ac:dyDescent="0.2">
      <c r="A12" s="23" t="s">
        <v>10</v>
      </c>
      <c r="B12" s="15">
        <v>0.217733333</v>
      </c>
      <c r="C12" s="7">
        <v>0.63549999999999995</v>
      </c>
      <c r="D12" s="10">
        <f t="shared" si="5"/>
        <v>0.41776666699999998</v>
      </c>
      <c r="E12" s="5">
        <f t="shared" si="2"/>
        <v>0.78226666700000003</v>
      </c>
      <c r="F12" s="5">
        <f t="shared" si="3"/>
        <v>0.217733333</v>
      </c>
      <c r="G12" s="5">
        <f t="shared" si="0"/>
        <v>0.53404636120076421</v>
      </c>
      <c r="H12" s="5">
        <f t="shared" si="1"/>
        <v>1.9187079040396628</v>
      </c>
      <c r="I12" s="11">
        <f t="shared" si="6"/>
        <v>-1.7009745710396629</v>
      </c>
      <c r="J12" s="11">
        <f t="shared" si="4"/>
        <v>0.24822030579923582</v>
      </c>
    </row>
  </sheetData>
  <conditionalFormatting sqref="G1:G12">
    <cfRule type="cellIs" dxfId="4" priority="5" operator="greaterThan">
      <formula>0</formula>
    </cfRule>
  </conditionalFormatting>
  <conditionalFormatting sqref="H1">
    <cfRule type="cellIs" dxfId="3" priority="1" operator="greaterThan">
      <formula>0</formula>
    </cfRule>
  </conditionalFormatting>
  <conditionalFormatting sqref="H2:H12">
    <cfRule type="cellIs" dxfId="2" priority="4" operator="lessThan">
      <formula>0</formula>
    </cfRule>
  </conditionalFormatting>
  <conditionalFormatting sqref="I1:I12">
    <cfRule type="cellIs" dxfId="1" priority="3" operator="greaterThan">
      <formula>0</formula>
    </cfRule>
  </conditionalFormatting>
  <conditionalFormatting sqref="J1:J12">
    <cfRule type="cellIs" dxfId="0" priority="2" stopIfTrue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GFP (NESs)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Ng</dc:creator>
  <cp:lastModifiedBy>Christine Ng</cp:lastModifiedBy>
  <dcterms:created xsi:type="dcterms:W3CDTF">2024-04-24T19:51:13Z</dcterms:created>
  <dcterms:modified xsi:type="dcterms:W3CDTF">2025-12-23T02:43:29Z</dcterms:modified>
</cp:coreProperties>
</file>